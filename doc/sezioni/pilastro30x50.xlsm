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Mark\Drive\EN1998-3_gammaRd\2020\MchiNstrisce\sezioni\"/>
    </mc:Choice>
  </mc:AlternateContent>
  <bookViews>
    <workbookView xWindow="0" yWindow="0" windowWidth="27855" windowHeight="12915" tabRatio="792" activeTab="3"/>
  </bookViews>
  <sheets>
    <sheet name="Intro" sheetId="14" r:id="rId1"/>
    <sheet name="NM2M3" sheetId="20" r:id="rId2"/>
    <sheet name="Mphi (N=0)" sheetId="15" r:id="rId3"/>
    <sheet name="Mphi(N)" sheetId="18" r:id="rId4"/>
    <sheet name="Mphi stripes" sheetId="2" r:id="rId5"/>
    <sheet name="bilin" sheetId="19" r:id="rId6"/>
  </sheets>
  <definedNames>
    <definedName name="_xlnm.Print_Area" localSheetId="1">NM2M3!$A$1:$E$27</definedName>
    <definedName name="epsc0" localSheetId="5">#REF!</definedName>
    <definedName name="epsc0" localSheetId="4">'Mphi stripes'!$B$2</definedName>
    <definedName name="epsc0" localSheetId="3">#REF!</definedName>
    <definedName name="epsc0">#REF!</definedName>
    <definedName name="epsc0_" localSheetId="5">#REF!</definedName>
    <definedName name="epsc0_" localSheetId="3">#REF!</definedName>
    <definedName name="epsc0_">#REF!</definedName>
    <definedName name="fc" localSheetId="5">#REF!</definedName>
    <definedName name="fc" localSheetId="4">'Mphi stripes'!$B$1</definedName>
    <definedName name="fc" localSheetId="3">#REF!</definedName>
    <definedName name="fc">#REF!</definedName>
    <definedName name="fc_" localSheetId="5">#REF!</definedName>
    <definedName name="fc_" localSheetId="3">#REF!</definedName>
    <definedName name="fc_">#REF!</definedName>
    <definedName name="yG" localSheetId="5">#REF!</definedName>
    <definedName name="yG" localSheetId="4">'Mphi stripes'!$E$3</definedName>
    <definedName name="yG" localSheetId="3">#REF!</definedName>
    <definedName name="yG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" l="1"/>
  <c r="F34" i="2"/>
  <c r="F35" i="2"/>
  <c r="F36" i="2"/>
  <c r="G73" i="19" l="1"/>
  <c r="E28" i="19"/>
  <c r="E29" i="19"/>
  <c r="E30" i="19"/>
  <c r="E31" i="19"/>
  <c r="E32" i="19"/>
  <c r="E33" i="19"/>
  <c r="E34" i="19"/>
  <c r="E35" i="19"/>
  <c r="E36" i="19"/>
  <c r="F36" i="19" s="1"/>
  <c r="E37" i="19"/>
  <c r="F37" i="19" s="1"/>
  <c r="E38" i="19"/>
  <c r="E39" i="19"/>
  <c r="E40" i="19"/>
  <c r="E41" i="19"/>
  <c r="F41" i="19" s="1"/>
  <c r="E42" i="19"/>
  <c r="E43" i="19"/>
  <c r="E44" i="19"/>
  <c r="E45" i="19"/>
  <c r="E46" i="19"/>
  <c r="E47" i="19"/>
  <c r="E48" i="19"/>
  <c r="E49" i="19"/>
  <c r="E50" i="19"/>
  <c r="E51" i="19"/>
  <c r="E52" i="19"/>
  <c r="F52" i="19" s="1"/>
  <c r="E53" i="19"/>
  <c r="F53" i="19" s="1"/>
  <c r="E54" i="19"/>
  <c r="E55" i="19"/>
  <c r="E56" i="19"/>
  <c r="E57" i="19"/>
  <c r="F57" i="19" s="1"/>
  <c r="E58" i="19"/>
  <c r="E59" i="19"/>
  <c r="E60" i="19"/>
  <c r="E61" i="19"/>
  <c r="E62" i="19"/>
  <c r="E63" i="19"/>
  <c r="E64" i="19"/>
  <c r="E65" i="19"/>
  <c r="E66" i="19"/>
  <c r="E67" i="19"/>
  <c r="E68" i="19"/>
  <c r="E69" i="19"/>
  <c r="F69" i="19" s="1"/>
  <c r="E70" i="19"/>
  <c r="E71" i="19"/>
  <c r="E72" i="19"/>
  <c r="E73" i="19"/>
  <c r="F73" i="19" s="1"/>
  <c r="E74" i="19"/>
  <c r="E75" i="19"/>
  <c r="E76" i="19"/>
  <c r="E77" i="19"/>
  <c r="E78" i="19"/>
  <c r="E79" i="19"/>
  <c r="E80" i="19"/>
  <c r="E81" i="19"/>
  <c r="E82" i="19"/>
  <c r="E83" i="19"/>
  <c r="D28" i="19"/>
  <c r="G28" i="19" s="1"/>
  <c r="D29" i="19"/>
  <c r="G29" i="19" s="1"/>
  <c r="D30" i="19"/>
  <c r="G30" i="19" s="1"/>
  <c r="D31" i="19"/>
  <c r="G31" i="19" s="1"/>
  <c r="D32" i="19"/>
  <c r="G32" i="19" s="1"/>
  <c r="D33" i="19"/>
  <c r="D34" i="19"/>
  <c r="G34" i="19" s="1"/>
  <c r="D35" i="19"/>
  <c r="G35" i="19" s="1"/>
  <c r="D36" i="19"/>
  <c r="G36" i="19" s="1"/>
  <c r="D37" i="19"/>
  <c r="G37" i="19" s="1"/>
  <c r="D38" i="19"/>
  <c r="G38" i="19" s="1"/>
  <c r="D39" i="19"/>
  <c r="G39" i="19" s="1"/>
  <c r="D40" i="19"/>
  <c r="G40" i="19" s="1"/>
  <c r="D41" i="19"/>
  <c r="G41" i="19" s="1"/>
  <c r="D42" i="19"/>
  <c r="G42" i="19" s="1"/>
  <c r="D43" i="19"/>
  <c r="G43" i="19" s="1"/>
  <c r="D44" i="19"/>
  <c r="G44" i="19" s="1"/>
  <c r="D45" i="19"/>
  <c r="G45" i="19" s="1"/>
  <c r="D46" i="19"/>
  <c r="G46" i="19" s="1"/>
  <c r="D47" i="19"/>
  <c r="G47" i="19" s="1"/>
  <c r="D48" i="19"/>
  <c r="G48" i="19" s="1"/>
  <c r="D49" i="19"/>
  <c r="G49" i="19" s="1"/>
  <c r="D50" i="19"/>
  <c r="G50" i="19" s="1"/>
  <c r="D51" i="19"/>
  <c r="G51" i="19" s="1"/>
  <c r="D52" i="19"/>
  <c r="G52" i="19" s="1"/>
  <c r="D53" i="19"/>
  <c r="G53" i="19" s="1"/>
  <c r="D54" i="19"/>
  <c r="G54" i="19" s="1"/>
  <c r="D55" i="19"/>
  <c r="G55" i="19" s="1"/>
  <c r="D56" i="19"/>
  <c r="G56" i="19" s="1"/>
  <c r="D57" i="19"/>
  <c r="G57" i="19" s="1"/>
  <c r="D58" i="19"/>
  <c r="G58" i="19" s="1"/>
  <c r="D59" i="19"/>
  <c r="G59" i="19" s="1"/>
  <c r="D60" i="19"/>
  <c r="G60" i="19" s="1"/>
  <c r="D61" i="19"/>
  <c r="G61" i="19" s="1"/>
  <c r="D62" i="19"/>
  <c r="G62" i="19" s="1"/>
  <c r="D63" i="19"/>
  <c r="G63" i="19" s="1"/>
  <c r="D64" i="19"/>
  <c r="G64" i="19" s="1"/>
  <c r="D65" i="19"/>
  <c r="G65" i="19" s="1"/>
  <c r="D66" i="19"/>
  <c r="G66" i="19" s="1"/>
  <c r="D67" i="19"/>
  <c r="G67" i="19" s="1"/>
  <c r="D68" i="19"/>
  <c r="G68" i="19" s="1"/>
  <c r="D69" i="19"/>
  <c r="G69" i="19" s="1"/>
  <c r="D70" i="19"/>
  <c r="G70" i="19" s="1"/>
  <c r="D71" i="19"/>
  <c r="G71" i="19" s="1"/>
  <c r="D72" i="19"/>
  <c r="G72" i="19" s="1"/>
  <c r="D73" i="19"/>
  <c r="D74" i="19"/>
  <c r="G74" i="19" s="1"/>
  <c r="D75" i="19"/>
  <c r="G75" i="19" s="1"/>
  <c r="D76" i="19"/>
  <c r="G76" i="19" s="1"/>
  <c r="D77" i="19"/>
  <c r="G77" i="19" s="1"/>
  <c r="D78" i="19"/>
  <c r="G78" i="19" s="1"/>
  <c r="D79" i="19"/>
  <c r="G79" i="19" s="1"/>
  <c r="D80" i="19"/>
  <c r="G80" i="19" s="1"/>
  <c r="D81" i="19"/>
  <c r="D82" i="19"/>
  <c r="G82" i="19" s="1"/>
  <c r="D83" i="19"/>
  <c r="G83" i="19" s="1"/>
  <c r="F72" i="19" l="1"/>
  <c r="F56" i="19"/>
  <c r="F40" i="19"/>
  <c r="F81" i="19"/>
  <c r="F33" i="19"/>
  <c r="F71" i="19"/>
  <c r="F55" i="19"/>
  <c r="F39" i="19"/>
  <c r="F68" i="19"/>
  <c r="F82" i="19"/>
  <c r="F66" i="19"/>
  <c r="F50" i="19"/>
  <c r="F34" i="19"/>
  <c r="F67" i="19"/>
  <c r="F80" i="19"/>
  <c r="F79" i="19"/>
  <c r="F63" i="19"/>
  <c r="F47" i="19"/>
  <c r="F31" i="19"/>
  <c r="F83" i="19"/>
  <c r="F64" i="19"/>
  <c r="F78" i="19"/>
  <c r="F62" i="19"/>
  <c r="F46" i="19"/>
  <c r="F30" i="19"/>
  <c r="F51" i="19"/>
  <c r="F32" i="19"/>
  <c r="F77" i="19"/>
  <c r="F61" i="19"/>
  <c r="F45" i="19"/>
  <c r="F29" i="19"/>
  <c r="F35" i="19"/>
  <c r="F48" i="19"/>
  <c r="F76" i="19"/>
  <c r="F60" i="19"/>
  <c r="F44" i="19"/>
  <c r="F28" i="19"/>
  <c r="F75" i="19"/>
  <c r="F59" i="19"/>
  <c r="F43" i="19"/>
  <c r="F70" i="19"/>
  <c r="F54" i="19"/>
  <c r="F38" i="19"/>
  <c r="F65" i="19"/>
  <c r="F49" i="19"/>
  <c r="G81" i="19"/>
  <c r="G33" i="19"/>
  <c r="F74" i="19"/>
  <c r="F58" i="19"/>
  <c r="F42" i="19"/>
  <c r="N5" i="20" l="1"/>
  <c r="N6" i="20"/>
  <c r="N7" i="20"/>
  <c r="N3" i="20" l="1"/>
  <c r="N4" i="20"/>
  <c r="N8" i="20"/>
  <c r="C9" i="20"/>
  <c r="F21" i="20" s="1"/>
  <c r="C16" i="20"/>
  <c r="C17" i="20"/>
  <c r="C28" i="20" s="1"/>
  <c r="C18" i="20"/>
  <c r="F22" i="20" s="1"/>
  <c r="C19" i="20"/>
  <c r="F23" i="20" s="1"/>
  <c r="F19" i="20"/>
  <c r="C21" i="20"/>
  <c r="C26" i="20"/>
  <c r="G26" i="20"/>
  <c r="G29" i="20" l="1"/>
  <c r="C10" i="20"/>
  <c r="G28" i="20"/>
  <c r="C27" i="20"/>
  <c r="C22" i="20"/>
  <c r="G27" i="20"/>
  <c r="C23" i="20"/>
  <c r="D8" i="19"/>
  <c r="G8" i="19" s="1"/>
  <c r="E8" i="19"/>
  <c r="D9" i="19"/>
  <c r="G9" i="19" s="1"/>
  <c r="E9" i="19"/>
  <c r="F9" i="19" s="1"/>
  <c r="D10" i="19"/>
  <c r="G10" i="19" s="1"/>
  <c r="E10" i="19"/>
  <c r="D11" i="19"/>
  <c r="G11" i="19" s="1"/>
  <c r="E11" i="19"/>
  <c r="D12" i="19"/>
  <c r="G12" i="19" s="1"/>
  <c r="E12" i="19"/>
  <c r="D13" i="19"/>
  <c r="G13" i="19" s="1"/>
  <c r="E13" i="19"/>
  <c r="F13" i="19" s="1"/>
  <c r="D14" i="19"/>
  <c r="G14" i="19" s="1"/>
  <c r="E14" i="19"/>
  <c r="D15" i="19"/>
  <c r="E15" i="19"/>
  <c r="D16" i="19"/>
  <c r="G16" i="19" s="1"/>
  <c r="E16" i="19"/>
  <c r="D17" i="19"/>
  <c r="G17" i="19" s="1"/>
  <c r="E17" i="19"/>
  <c r="D18" i="19"/>
  <c r="G18" i="19" s="1"/>
  <c r="E18" i="19"/>
  <c r="F18" i="19" s="1"/>
  <c r="D19" i="19"/>
  <c r="G19" i="19" s="1"/>
  <c r="E19" i="19"/>
  <c r="D20" i="19"/>
  <c r="G20" i="19" s="1"/>
  <c r="E20" i="19"/>
  <c r="D21" i="19"/>
  <c r="E21" i="19"/>
  <c r="D22" i="19"/>
  <c r="G22" i="19" s="1"/>
  <c r="E22" i="19"/>
  <c r="D23" i="19"/>
  <c r="G23" i="19" s="1"/>
  <c r="E23" i="19"/>
  <c r="D24" i="19"/>
  <c r="G24" i="19" s="1"/>
  <c r="E24" i="19"/>
  <c r="D25" i="19"/>
  <c r="E25" i="19"/>
  <c r="D26" i="19"/>
  <c r="G26" i="19" s="1"/>
  <c r="E26" i="19"/>
  <c r="D27" i="19"/>
  <c r="G27" i="19" s="1"/>
  <c r="E27" i="19"/>
  <c r="J6" i="19"/>
  <c r="J7" i="19"/>
  <c r="E6" i="19"/>
  <c r="E7" i="19"/>
  <c r="D7" i="19"/>
  <c r="G7" i="19" s="1"/>
  <c r="D6" i="19"/>
  <c r="G6" i="19" s="1"/>
  <c r="F12" i="19" l="1"/>
  <c r="F17" i="19"/>
  <c r="F21" i="19"/>
  <c r="F26" i="19"/>
  <c r="F23" i="19"/>
  <c r="F27" i="19"/>
  <c r="F22" i="19"/>
  <c r="F19" i="19"/>
  <c r="F25" i="19"/>
  <c r="F11" i="19"/>
  <c r="N17" i="19"/>
  <c r="P17" i="19"/>
  <c r="O17" i="19"/>
  <c r="Q17" i="19"/>
  <c r="G21" i="19"/>
  <c r="F14" i="19"/>
  <c r="F10" i="19"/>
  <c r="F16" i="19"/>
  <c r="F15" i="19"/>
  <c r="G25" i="19"/>
  <c r="L26" i="20"/>
  <c r="L28" i="20" s="1"/>
  <c r="F8" i="19"/>
  <c r="P7" i="20"/>
  <c r="F20" i="19"/>
  <c r="G15" i="19"/>
  <c r="F24" i="19"/>
  <c r="P6" i="20"/>
  <c r="P4" i="20"/>
  <c r="P8" i="20"/>
  <c r="F4" i="20"/>
  <c r="C29" i="20"/>
  <c r="O3" i="20" s="1"/>
  <c r="P3" i="20"/>
  <c r="P5" i="20"/>
  <c r="F6" i="19"/>
  <c r="F7" i="19"/>
  <c r="Q6" i="19" s="1"/>
  <c r="M7" i="19"/>
  <c r="M17" i="19"/>
  <c r="L17" i="19"/>
  <c r="A19" i="18"/>
  <c r="A18" i="18"/>
  <c r="A15" i="18"/>
  <c r="A16" i="18"/>
  <c r="J8" i="19" l="1"/>
  <c r="L30" i="20"/>
  <c r="L29" i="20"/>
  <c r="L37" i="20"/>
  <c r="L31" i="20"/>
  <c r="L32" i="20"/>
  <c r="L33" i="20"/>
  <c r="L34" i="20"/>
  <c r="K26" i="20"/>
  <c r="K29" i="20" s="1"/>
  <c r="L35" i="20"/>
  <c r="L36" i="20"/>
  <c r="L27" i="20"/>
  <c r="Q3" i="20"/>
  <c r="O4" i="20"/>
  <c r="Q4" i="20" s="1"/>
  <c r="O5" i="20"/>
  <c r="Q5" i="20" s="1"/>
  <c r="Q13" i="20"/>
  <c r="O8" i="20"/>
  <c r="Q8" i="20" s="1"/>
  <c r="O7" i="20"/>
  <c r="Q7" i="20" s="1"/>
  <c r="Q10" i="20"/>
  <c r="Q16" i="20"/>
  <c r="O6" i="20"/>
  <c r="Q6" i="20" s="1"/>
  <c r="Q12" i="20"/>
  <c r="Q18" i="20"/>
  <c r="Q19" i="20"/>
  <c r="Q15" i="20"/>
  <c r="Q14" i="20"/>
  <c r="Q9" i="20"/>
  <c r="Q17" i="20"/>
  <c r="Q20" i="20"/>
  <c r="Q11" i="20"/>
  <c r="G4" i="20"/>
  <c r="F13" i="20"/>
  <c r="F5" i="20" s="1"/>
  <c r="H4" i="20"/>
  <c r="J5" i="19"/>
  <c r="M16" i="19"/>
  <c r="E18" i="18"/>
  <c r="M6" i="19" l="1"/>
  <c r="M8" i="19" s="1"/>
  <c r="Q7" i="19"/>
  <c r="K34" i="20"/>
  <c r="K31" i="20"/>
  <c r="K33" i="20"/>
  <c r="K37" i="20"/>
  <c r="K35" i="20"/>
  <c r="K36" i="20"/>
  <c r="K32" i="20"/>
  <c r="K28" i="20"/>
  <c r="K27" i="20"/>
  <c r="K30" i="20"/>
  <c r="F11" i="20"/>
  <c r="F8" i="20"/>
  <c r="G8" i="20" s="1"/>
  <c r="F12" i="20"/>
  <c r="G12" i="20" s="1"/>
  <c r="W3" i="20"/>
  <c r="T3" i="20"/>
  <c r="V3" i="20"/>
  <c r="X3" i="20"/>
  <c r="S3" i="20"/>
  <c r="U3" i="20"/>
  <c r="Y3" i="20"/>
  <c r="G5" i="20"/>
  <c r="H5" i="20"/>
  <c r="S9" i="20"/>
  <c r="W9" i="20"/>
  <c r="Y9" i="20"/>
  <c r="T9" i="20"/>
  <c r="U9" i="20"/>
  <c r="V9" i="20"/>
  <c r="X9" i="20"/>
  <c r="F9" i="20"/>
  <c r="U6" i="20"/>
  <c r="V6" i="20"/>
  <c r="W6" i="20"/>
  <c r="Y6" i="20"/>
  <c r="X6" i="20"/>
  <c r="S6" i="20"/>
  <c r="T6" i="20"/>
  <c r="F6" i="20"/>
  <c r="F7" i="20"/>
  <c r="S5" i="20"/>
  <c r="W5" i="20"/>
  <c r="X5" i="20"/>
  <c r="Y5" i="20"/>
  <c r="T5" i="20"/>
  <c r="U5" i="20"/>
  <c r="V5" i="20"/>
  <c r="F10" i="20"/>
  <c r="Y8" i="20"/>
  <c r="S8" i="20"/>
  <c r="T8" i="20"/>
  <c r="W8" i="20"/>
  <c r="U8" i="20"/>
  <c r="V8" i="20"/>
  <c r="X8" i="20"/>
  <c r="S10" i="20"/>
  <c r="V10" i="20"/>
  <c r="W10" i="20"/>
  <c r="Y10" i="20"/>
  <c r="T10" i="20"/>
  <c r="U10" i="20"/>
  <c r="X10" i="20"/>
  <c r="G11" i="20"/>
  <c r="H11" i="20"/>
  <c r="U4" i="20"/>
  <c r="V4" i="20"/>
  <c r="W4" i="20"/>
  <c r="X4" i="20"/>
  <c r="S4" i="20"/>
  <c r="Y4" i="20"/>
  <c r="T4" i="20"/>
  <c r="S11" i="20"/>
  <c r="V11" i="20"/>
  <c r="W11" i="20"/>
  <c r="T11" i="20"/>
  <c r="U11" i="20"/>
  <c r="X11" i="20"/>
  <c r="Y11" i="20"/>
  <c r="G13" i="20"/>
  <c r="H13" i="20"/>
  <c r="W7" i="20"/>
  <c r="S7" i="20"/>
  <c r="X7" i="20"/>
  <c r="T7" i="20"/>
  <c r="U7" i="20"/>
  <c r="V7" i="20"/>
  <c r="Y7" i="20"/>
  <c r="O6" i="19"/>
  <c r="G15" i="18"/>
  <c r="D8" i="18"/>
  <c r="G32" i="18" s="1"/>
  <c r="B7" i="18"/>
  <c r="O4" i="18"/>
  <c r="M4" i="18"/>
  <c r="C19" i="18" l="1"/>
  <c r="N16" i="19"/>
  <c r="O9" i="19"/>
  <c r="P16" i="19"/>
  <c r="Q9" i="19"/>
  <c r="Q8" i="19"/>
  <c r="Q16" i="19" s="1"/>
  <c r="L16" i="19"/>
  <c r="M9" i="19"/>
  <c r="H8" i="20"/>
  <c r="H12" i="20"/>
  <c r="B12" i="18"/>
  <c r="D9" i="18" s="1"/>
  <c r="C15" i="18" s="1"/>
  <c r="C23" i="18" s="1"/>
  <c r="G10" i="20"/>
  <c r="H10" i="20"/>
  <c r="H7" i="20"/>
  <c r="G7" i="20"/>
  <c r="G6" i="20"/>
  <c r="H6" i="20"/>
  <c r="H9" i="20"/>
  <c r="G9" i="20"/>
  <c r="O7" i="19"/>
  <c r="O8" i="19" s="1"/>
  <c r="G31" i="18"/>
  <c r="G30" i="18"/>
  <c r="E25" i="18"/>
  <c r="D10" i="18"/>
  <c r="M5" i="18"/>
  <c r="O5" i="18"/>
  <c r="E32" i="18" l="1"/>
  <c r="E31" i="18"/>
  <c r="N4" i="18"/>
  <c r="N5" i="18" s="1"/>
  <c r="E30" i="18"/>
  <c r="C17" i="18"/>
  <c r="C22" i="18"/>
  <c r="C21" i="18"/>
  <c r="C29" i="18" s="1"/>
  <c r="C20" i="18"/>
  <c r="M6" i="18" s="1"/>
  <c r="O16" i="19"/>
  <c r="G33" i="18"/>
  <c r="V17" i="15"/>
  <c r="V15" i="15"/>
  <c r="V13" i="15"/>
  <c r="E15" i="18" l="1"/>
  <c r="E17" i="18" s="1"/>
  <c r="E22" i="18"/>
  <c r="G34" i="18"/>
  <c r="G35" i="18"/>
  <c r="E21" i="18"/>
  <c r="E29" i="18" s="1"/>
  <c r="E20" i="18"/>
  <c r="C16" i="18"/>
  <c r="C24" i="18" s="1"/>
  <c r="C18" i="18"/>
  <c r="C25" i="18" s="1"/>
  <c r="D8" i="15"/>
  <c r="H8" i="15"/>
  <c r="J4" i="15"/>
  <c r="B7" i="15"/>
  <c r="B12" i="15" s="1"/>
  <c r="H6" i="15"/>
  <c r="H4" i="15"/>
  <c r="H5" i="15" s="1"/>
  <c r="G36" i="18" l="1"/>
  <c r="G18" i="18" s="1"/>
  <c r="G25" i="18" s="1"/>
  <c r="C27" i="18"/>
  <c r="M7" i="18" s="1"/>
  <c r="C26" i="18"/>
  <c r="N6" i="18"/>
  <c r="D9" i="15"/>
  <c r="I4" i="15" s="1"/>
  <c r="H7" i="15"/>
  <c r="M7" i="15"/>
  <c r="L7" i="15"/>
  <c r="J5" i="15"/>
  <c r="J6" i="15"/>
  <c r="J8" i="15" s="1"/>
  <c r="G17" i="18" l="1"/>
  <c r="G21" i="18"/>
  <c r="G22" i="18" s="1"/>
  <c r="G20" i="18"/>
  <c r="O6" i="18" s="1"/>
  <c r="J7" i="15"/>
  <c r="I6" i="15"/>
  <c r="I8" i="15" s="1"/>
  <c r="I5" i="15"/>
  <c r="I7" i="15"/>
  <c r="G29" i="18" l="1"/>
  <c r="G19" i="18"/>
  <c r="I20" i="18"/>
  <c r="G16" i="18"/>
  <c r="G24" i="18" s="1"/>
  <c r="G27" i="18" s="1"/>
  <c r="O7" i="18" s="1"/>
  <c r="G10" i="15"/>
  <c r="D42" i="2"/>
  <c r="E42" i="2" s="1"/>
  <c r="D41" i="2"/>
  <c r="E41" i="2" s="1"/>
  <c r="C44" i="2"/>
  <c r="C46" i="2" s="1"/>
  <c r="C48" i="2" s="1"/>
  <c r="C43" i="2"/>
  <c r="D43" i="2" s="1"/>
  <c r="E43" i="2" s="1"/>
  <c r="G26" i="18" l="1"/>
  <c r="D44" i="2"/>
  <c r="E44" i="2" s="1"/>
  <c r="C45" i="2"/>
  <c r="D45" i="2" s="1"/>
  <c r="E45" i="2" s="1"/>
  <c r="C50" i="2"/>
  <c r="C47" i="2" l="1"/>
  <c r="D46" i="2"/>
  <c r="E46" i="2" s="1"/>
  <c r="C52" i="2"/>
  <c r="D48" i="2" l="1"/>
  <c r="E48" i="2" s="1"/>
  <c r="C49" i="2"/>
  <c r="D47" i="2"/>
  <c r="E47" i="2" s="1"/>
  <c r="C54" i="2"/>
  <c r="E4" i="2"/>
  <c r="C51" i="2" l="1"/>
  <c r="D49" i="2"/>
  <c r="E49" i="2" s="1"/>
  <c r="D50" i="2"/>
  <c r="E50" i="2" s="1"/>
  <c r="C56" i="2"/>
  <c r="Q38" i="2"/>
  <c r="P38" i="2"/>
  <c r="J38" i="2"/>
  <c r="K38" i="2" s="1"/>
  <c r="H38" i="2"/>
  <c r="G38" i="2"/>
  <c r="F38" i="2"/>
  <c r="Q37" i="2"/>
  <c r="P37" i="2"/>
  <c r="J37" i="2"/>
  <c r="K37" i="2" s="1"/>
  <c r="H37" i="2"/>
  <c r="G37" i="2"/>
  <c r="F37" i="2"/>
  <c r="Q36" i="2"/>
  <c r="P36" i="2"/>
  <c r="J36" i="2"/>
  <c r="K36" i="2" s="1"/>
  <c r="H36" i="2"/>
  <c r="G36" i="2"/>
  <c r="Q35" i="2"/>
  <c r="P35" i="2"/>
  <c r="J35" i="2"/>
  <c r="K35" i="2" s="1"/>
  <c r="H35" i="2"/>
  <c r="G35" i="2"/>
  <c r="Q34" i="2"/>
  <c r="P34" i="2"/>
  <c r="J34" i="2"/>
  <c r="K34" i="2" s="1"/>
  <c r="H34" i="2"/>
  <c r="G34" i="2"/>
  <c r="Q33" i="2"/>
  <c r="P33" i="2"/>
  <c r="J33" i="2"/>
  <c r="K33" i="2" s="1"/>
  <c r="H33" i="2"/>
  <c r="G33" i="2"/>
  <c r="Q32" i="2"/>
  <c r="P32" i="2"/>
  <c r="J32" i="2"/>
  <c r="K32" i="2" s="1"/>
  <c r="H32" i="2"/>
  <c r="G32" i="2"/>
  <c r="F32" i="2"/>
  <c r="Q31" i="2"/>
  <c r="P31" i="2"/>
  <c r="J31" i="2"/>
  <c r="K31" i="2" s="1"/>
  <c r="L31" i="2" s="1"/>
  <c r="H31" i="2"/>
  <c r="G31" i="2"/>
  <c r="F31" i="2"/>
  <c r="Q30" i="2"/>
  <c r="P30" i="2"/>
  <c r="J30" i="2"/>
  <c r="K30" i="2" s="1"/>
  <c r="H30" i="2"/>
  <c r="G30" i="2"/>
  <c r="F30" i="2"/>
  <c r="Q29" i="2"/>
  <c r="P29" i="2"/>
  <c r="J29" i="2"/>
  <c r="K29" i="2" s="1"/>
  <c r="H29" i="2"/>
  <c r="G29" i="2"/>
  <c r="F29" i="2"/>
  <c r="Q28" i="2"/>
  <c r="P28" i="2"/>
  <c r="H28" i="2"/>
  <c r="Q27" i="2"/>
  <c r="P27" i="2"/>
  <c r="H27" i="2"/>
  <c r="Q26" i="2"/>
  <c r="P26" i="2"/>
  <c r="H26" i="2"/>
  <c r="Q25" i="2"/>
  <c r="P25" i="2"/>
  <c r="H25" i="2"/>
  <c r="Q24" i="2"/>
  <c r="P24" i="2"/>
  <c r="H24" i="2"/>
  <c r="Q23" i="2"/>
  <c r="P23" i="2"/>
  <c r="H23" i="2"/>
  <c r="Q22" i="2"/>
  <c r="P22" i="2"/>
  <c r="H22" i="2"/>
  <c r="Q21" i="2"/>
  <c r="P21" i="2"/>
  <c r="H21" i="2"/>
  <c r="Q20" i="2"/>
  <c r="P20" i="2"/>
  <c r="H20" i="2"/>
  <c r="Q19" i="2"/>
  <c r="P19" i="2"/>
  <c r="H19" i="2"/>
  <c r="Q18" i="2"/>
  <c r="P18" i="2"/>
  <c r="H18" i="2"/>
  <c r="Q17" i="2"/>
  <c r="R17" i="2" s="1"/>
  <c r="P17" i="2"/>
  <c r="H17" i="2"/>
  <c r="Q16" i="2"/>
  <c r="P16" i="2"/>
  <c r="H16" i="2"/>
  <c r="Q15" i="2"/>
  <c r="P15" i="2"/>
  <c r="H15" i="2"/>
  <c r="Q14" i="2"/>
  <c r="P14" i="2"/>
  <c r="H14" i="2"/>
  <c r="Q13" i="2"/>
  <c r="P13" i="2"/>
  <c r="H13" i="2"/>
  <c r="H12" i="2"/>
  <c r="H11" i="2"/>
  <c r="H10" i="2"/>
  <c r="H9" i="2"/>
  <c r="F9" i="2"/>
  <c r="F10" i="2" s="1"/>
  <c r="E2" i="2"/>
  <c r="L32" i="2" l="1"/>
  <c r="M32" i="2" s="1"/>
  <c r="L29" i="2"/>
  <c r="M29" i="2" s="1"/>
  <c r="L34" i="2"/>
  <c r="M34" i="2" s="1"/>
  <c r="R20" i="2"/>
  <c r="S20" i="2" s="1"/>
  <c r="T20" i="2" s="1"/>
  <c r="R28" i="2"/>
  <c r="S28" i="2" s="1"/>
  <c r="T28" i="2" s="1"/>
  <c r="R30" i="2"/>
  <c r="S30" i="2" s="1"/>
  <c r="T30" i="2" s="1"/>
  <c r="R13" i="2"/>
  <c r="S13" i="2" s="1"/>
  <c r="T13" i="2" s="1"/>
  <c r="R21" i="2"/>
  <c r="S21" i="2" s="1"/>
  <c r="T21" i="2" s="1"/>
  <c r="R25" i="2"/>
  <c r="S25" i="2" s="1"/>
  <c r="T25" i="2" s="1"/>
  <c r="R16" i="2"/>
  <c r="S16" i="2" s="1"/>
  <c r="T16" i="2" s="1"/>
  <c r="R24" i="2"/>
  <c r="S24" i="2" s="1"/>
  <c r="T24" i="2" s="1"/>
  <c r="R32" i="2"/>
  <c r="S32" i="2" s="1"/>
  <c r="T32" i="2" s="1"/>
  <c r="R34" i="2"/>
  <c r="S34" i="2" s="1"/>
  <c r="T34" i="2" s="1"/>
  <c r="R36" i="2"/>
  <c r="S36" i="2" s="1"/>
  <c r="T36" i="2" s="1"/>
  <c r="R38" i="2"/>
  <c r="S38" i="2" s="1"/>
  <c r="T38" i="2" s="1"/>
  <c r="R15" i="2"/>
  <c r="S15" i="2" s="1"/>
  <c r="T15" i="2" s="1"/>
  <c r="R19" i="2"/>
  <c r="S19" i="2" s="1"/>
  <c r="T19" i="2" s="1"/>
  <c r="R23" i="2"/>
  <c r="S23" i="2" s="1"/>
  <c r="T23" i="2" s="1"/>
  <c r="R27" i="2"/>
  <c r="S27" i="2" s="1"/>
  <c r="T27" i="2" s="1"/>
  <c r="R14" i="2"/>
  <c r="S14" i="2" s="1"/>
  <c r="T14" i="2" s="1"/>
  <c r="R18" i="2"/>
  <c r="S18" i="2" s="1"/>
  <c r="T18" i="2" s="1"/>
  <c r="R22" i="2"/>
  <c r="S22" i="2" s="1"/>
  <c r="T22" i="2" s="1"/>
  <c r="R26" i="2"/>
  <c r="S26" i="2" s="1"/>
  <c r="T26" i="2" s="1"/>
  <c r="R29" i="2"/>
  <c r="S29" i="2" s="1"/>
  <c r="T29" i="2" s="1"/>
  <c r="R31" i="2"/>
  <c r="S31" i="2" s="1"/>
  <c r="T31" i="2" s="1"/>
  <c r="R33" i="2"/>
  <c r="S33" i="2" s="1"/>
  <c r="T33" i="2" s="1"/>
  <c r="R35" i="2"/>
  <c r="S35" i="2" s="1"/>
  <c r="T35" i="2" s="1"/>
  <c r="R37" i="2"/>
  <c r="S37" i="2" s="1"/>
  <c r="T37" i="2" s="1"/>
  <c r="L36" i="2"/>
  <c r="M36" i="2" s="1"/>
  <c r="L30" i="2"/>
  <c r="M30" i="2" s="1"/>
  <c r="L33" i="2"/>
  <c r="M33" i="2" s="1"/>
  <c r="L35" i="2"/>
  <c r="M35" i="2" s="1"/>
  <c r="L38" i="2"/>
  <c r="M38" i="2" s="1"/>
  <c r="L37" i="2"/>
  <c r="M37" i="2" s="1"/>
  <c r="I30" i="2"/>
  <c r="I33" i="2"/>
  <c r="I34" i="2"/>
  <c r="D51" i="2"/>
  <c r="E51" i="2" s="1"/>
  <c r="C53" i="2"/>
  <c r="D52" i="2"/>
  <c r="E52" i="2" s="1"/>
  <c r="C58" i="2"/>
  <c r="I36" i="2"/>
  <c r="M31" i="2"/>
  <c r="I38" i="2"/>
  <c r="I31" i="2"/>
  <c r="I35" i="2"/>
  <c r="I32" i="2"/>
  <c r="I10" i="2"/>
  <c r="I9" i="2"/>
  <c r="T17" i="2"/>
  <c r="F11" i="2"/>
  <c r="I11" i="2" s="1"/>
  <c r="I29" i="2"/>
  <c r="E1" i="2"/>
  <c r="E5" i="2" s="1"/>
  <c r="I37" i="2"/>
  <c r="D53" i="2" l="1"/>
  <c r="E53" i="2" s="1"/>
  <c r="C55" i="2"/>
  <c r="D54" i="2"/>
  <c r="E54" i="2" s="1"/>
  <c r="C60" i="2"/>
  <c r="F12" i="2"/>
  <c r="F13" i="2" s="1"/>
  <c r="D55" i="2" l="1"/>
  <c r="E55" i="2" s="1"/>
  <c r="C57" i="2"/>
  <c r="D56" i="2"/>
  <c r="E56" i="2" s="1"/>
  <c r="C62" i="2"/>
  <c r="I12" i="2"/>
  <c r="F14" i="2"/>
  <c r="I13" i="2"/>
  <c r="D57" i="2" l="1"/>
  <c r="E57" i="2" s="1"/>
  <c r="D58" i="2"/>
  <c r="E58" i="2" s="1"/>
  <c r="C59" i="2"/>
  <c r="C64" i="2"/>
  <c r="F15" i="2"/>
  <c r="I14" i="2"/>
  <c r="D59" i="2" l="1"/>
  <c r="E59" i="2" s="1"/>
  <c r="C61" i="2"/>
  <c r="D60" i="2"/>
  <c r="E60" i="2" s="1"/>
  <c r="C66" i="2"/>
  <c r="I15" i="2"/>
  <c r="F16" i="2"/>
  <c r="D61" i="2" l="1"/>
  <c r="E61" i="2" s="1"/>
  <c r="D62" i="2"/>
  <c r="E62" i="2" s="1"/>
  <c r="C63" i="2"/>
  <c r="C68" i="2"/>
  <c r="F17" i="2"/>
  <c r="I16" i="2"/>
  <c r="D63" i="2" l="1"/>
  <c r="E63" i="2" s="1"/>
  <c r="D64" i="2"/>
  <c r="E64" i="2" s="1"/>
  <c r="C65" i="2"/>
  <c r="C70" i="2"/>
  <c r="F18" i="2"/>
  <c r="I17" i="2"/>
  <c r="I18" i="2" l="1"/>
  <c r="F19" i="2"/>
  <c r="D66" i="2"/>
  <c r="E66" i="2" s="1"/>
  <c r="C67" i="2"/>
  <c r="D65" i="2"/>
  <c r="E65" i="2" s="1"/>
  <c r="C72" i="2"/>
  <c r="F20" i="2" l="1"/>
  <c r="I19" i="2"/>
  <c r="D68" i="2"/>
  <c r="E68" i="2" s="1"/>
  <c r="C69" i="2"/>
  <c r="D67" i="2"/>
  <c r="E67" i="2" s="1"/>
  <c r="C74" i="2"/>
  <c r="F21" i="2" l="1"/>
  <c r="I20" i="2"/>
  <c r="D70" i="2"/>
  <c r="E70" i="2" s="1"/>
  <c r="C71" i="2"/>
  <c r="D69" i="2"/>
  <c r="E69" i="2" s="1"/>
  <c r="C76" i="2"/>
  <c r="F22" i="2" l="1"/>
  <c r="I21" i="2"/>
  <c r="D72" i="2"/>
  <c r="E72" i="2" s="1"/>
  <c r="C73" i="2"/>
  <c r="D71" i="2"/>
  <c r="E71" i="2" s="1"/>
  <c r="C78" i="2"/>
  <c r="F23" i="2" l="1"/>
  <c r="I22" i="2"/>
  <c r="C75" i="2"/>
  <c r="D74" i="2"/>
  <c r="E74" i="2" s="1"/>
  <c r="D73" i="2"/>
  <c r="E73" i="2" s="1"/>
  <c r="C80" i="2"/>
  <c r="F24" i="2" l="1"/>
  <c r="I23" i="2"/>
  <c r="D76" i="2"/>
  <c r="E76" i="2" s="1"/>
  <c r="C77" i="2"/>
  <c r="D75" i="2"/>
  <c r="E75" i="2" s="1"/>
  <c r="C82" i="2"/>
  <c r="F82" i="2" s="1"/>
  <c r="F25" i="2" l="1"/>
  <c r="I24" i="2"/>
  <c r="D78" i="2"/>
  <c r="E78" i="2" s="1"/>
  <c r="C79" i="2"/>
  <c r="D77" i="2"/>
  <c r="E77" i="2" s="1"/>
  <c r="C84" i="2"/>
  <c r="F84" i="2" s="1"/>
  <c r="F26" i="2" l="1"/>
  <c r="I25" i="2"/>
  <c r="D80" i="2"/>
  <c r="E80" i="2" s="1"/>
  <c r="C81" i="2"/>
  <c r="D79" i="2"/>
  <c r="E79" i="2" s="1"/>
  <c r="C86" i="2"/>
  <c r="F86" i="2" s="1"/>
  <c r="F27" i="2" l="1"/>
  <c r="I26" i="2"/>
  <c r="D82" i="2"/>
  <c r="E82" i="2" s="1"/>
  <c r="C83" i="2"/>
  <c r="D81" i="2"/>
  <c r="E81" i="2" s="1"/>
  <c r="F81" i="2"/>
  <c r="C88" i="2"/>
  <c r="F88" i="2" s="1"/>
  <c r="F28" i="2" l="1"/>
  <c r="I28" i="2" s="1"/>
  <c r="I27" i="2"/>
  <c r="D84" i="2"/>
  <c r="E84" i="2" s="1"/>
  <c r="C85" i="2"/>
  <c r="D83" i="2"/>
  <c r="E83" i="2" s="1"/>
  <c r="F83" i="2"/>
  <c r="C90" i="2"/>
  <c r="F90" i="2" s="1"/>
  <c r="E3" i="2" l="1"/>
  <c r="G24" i="2" s="1"/>
  <c r="G27" i="2"/>
  <c r="G23" i="2"/>
  <c r="G22" i="2"/>
  <c r="G25" i="2"/>
  <c r="G28" i="2"/>
  <c r="D86" i="2"/>
  <c r="E86" i="2" s="1"/>
  <c r="C87" i="2"/>
  <c r="D85" i="2"/>
  <c r="E85" i="2" s="1"/>
  <c r="F85" i="2"/>
  <c r="C92" i="2"/>
  <c r="F92" i="2" s="1"/>
  <c r="P11" i="2" l="1"/>
  <c r="Q11" i="2" s="1"/>
  <c r="R11" i="2" s="1"/>
  <c r="S11" i="2" s="1"/>
  <c r="T11" i="2" s="1"/>
  <c r="P12" i="2"/>
  <c r="Q12" i="2" s="1"/>
  <c r="R12" i="2" s="1"/>
  <c r="S12" i="2" s="1"/>
  <c r="T12" i="2" s="1"/>
  <c r="G9" i="2"/>
  <c r="J9" i="2" s="1"/>
  <c r="K9" i="2" s="1"/>
  <c r="L9" i="2" s="1"/>
  <c r="P10" i="2"/>
  <c r="Q10" i="2" s="1"/>
  <c r="G11" i="2"/>
  <c r="F45" i="2" s="1"/>
  <c r="G19" i="2"/>
  <c r="F61" i="2" s="1"/>
  <c r="G15" i="2"/>
  <c r="F54" i="2" s="1"/>
  <c r="P9" i="2"/>
  <c r="Q9" i="2" s="1"/>
  <c r="G10" i="2"/>
  <c r="F43" i="2" s="1"/>
  <c r="G12" i="2"/>
  <c r="J12" i="2" s="1"/>
  <c r="K12" i="2" s="1"/>
  <c r="L12" i="2" s="1"/>
  <c r="M12" i="2" s="1"/>
  <c r="G14" i="2"/>
  <c r="J14" i="2" s="1"/>
  <c r="K14" i="2" s="1"/>
  <c r="L14" i="2" s="1"/>
  <c r="M14" i="2" s="1"/>
  <c r="G21" i="2"/>
  <c r="J21" i="2" s="1"/>
  <c r="K21" i="2" s="1"/>
  <c r="L21" i="2" s="1"/>
  <c r="M21" i="2" s="1"/>
  <c r="G17" i="2"/>
  <c r="J17" i="2" s="1"/>
  <c r="K17" i="2" s="1"/>
  <c r="L17" i="2" s="1"/>
  <c r="M17" i="2" s="1"/>
  <c r="G18" i="2"/>
  <c r="F60" i="2" s="1"/>
  <c r="G20" i="2"/>
  <c r="F63" i="2" s="1"/>
  <c r="G16" i="2"/>
  <c r="F55" i="2" s="1"/>
  <c r="G13" i="2"/>
  <c r="F49" i="2" s="1"/>
  <c r="G26" i="2"/>
  <c r="F76" i="2" s="1"/>
  <c r="F67" i="2"/>
  <c r="F68" i="2"/>
  <c r="J22" i="2"/>
  <c r="K22" i="2" s="1"/>
  <c r="L22" i="2" s="1"/>
  <c r="M22" i="2" s="1"/>
  <c r="J24" i="2"/>
  <c r="K24" i="2" s="1"/>
  <c r="L24" i="2" s="1"/>
  <c r="M24" i="2" s="1"/>
  <c r="F72" i="2"/>
  <c r="F71" i="2"/>
  <c r="J25" i="2"/>
  <c r="K25" i="2" s="1"/>
  <c r="L25" i="2" s="1"/>
  <c r="M25" i="2" s="1"/>
  <c r="F74" i="2"/>
  <c r="F73" i="2"/>
  <c r="J27" i="2"/>
  <c r="K27" i="2" s="1"/>
  <c r="L27" i="2" s="1"/>
  <c r="M27" i="2" s="1"/>
  <c r="F78" i="2"/>
  <c r="F77" i="2"/>
  <c r="F70" i="2"/>
  <c r="F69" i="2"/>
  <c r="J23" i="2"/>
  <c r="K23" i="2" s="1"/>
  <c r="L23" i="2" s="1"/>
  <c r="M23" i="2" s="1"/>
  <c r="J28" i="2"/>
  <c r="K28" i="2" s="1"/>
  <c r="L28" i="2" s="1"/>
  <c r="M28" i="2" s="1"/>
  <c r="F80" i="2"/>
  <c r="F79" i="2"/>
  <c r="D88" i="2"/>
  <c r="E88" i="2" s="1"/>
  <c r="C89" i="2"/>
  <c r="D87" i="2"/>
  <c r="E87" i="2" s="1"/>
  <c r="F87" i="2"/>
  <c r="C94" i="2"/>
  <c r="F94" i="2" s="1"/>
  <c r="F41" i="2" l="1"/>
  <c r="J19" i="2"/>
  <c r="K19" i="2" s="1"/>
  <c r="L19" i="2" s="1"/>
  <c r="M19" i="2" s="1"/>
  <c r="F42" i="2"/>
  <c r="F46" i="2"/>
  <c r="F62" i="2"/>
  <c r="J15" i="2"/>
  <c r="K15" i="2" s="1"/>
  <c r="L15" i="2" s="1"/>
  <c r="M15" i="2" s="1"/>
  <c r="F53" i="2"/>
  <c r="J11" i="2"/>
  <c r="K11" i="2" s="1"/>
  <c r="L11" i="2" s="1"/>
  <c r="M11" i="2" s="1"/>
  <c r="F44" i="2"/>
  <c r="J10" i="2"/>
  <c r="K10" i="2" s="1"/>
  <c r="L10" i="2" s="1"/>
  <c r="M10" i="2" s="1"/>
  <c r="F56" i="2"/>
  <c r="F57" i="2"/>
  <c r="F58" i="2"/>
  <c r="R9" i="2"/>
  <c r="S9" i="2" s="1"/>
  <c r="R10" i="2"/>
  <c r="S10" i="2" s="1"/>
  <c r="T10" i="2" s="1"/>
  <c r="F59" i="2"/>
  <c r="J26" i="2"/>
  <c r="K26" i="2" s="1"/>
  <c r="L26" i="2" s="1"/>
  <c r="M26" i="2" s="1"/>
  <c r="F65" i="2"/>
  <c r="F66" i="2"/>
  <c r="J13" i="2"/>
  <c r="K13" i="2" s="1"/>
  <c r="L13" i="2" s="1"/>
  <c r="M13" i="2" s="1"/>
  <c r="F75" i="2"/>
  <c r="F47" i="2"/>
  <c r="J20" i="2"/>
  <c r="K20" i="2" s="1"/>
  <c r="L20" i="2" s="1"/>
  <c r="M20" i="2" s="1"/>
  <c r="J18" i="2"/>
  <c r="K18" i="2" s="1"/>
  <c r="L18" i="2" s="1"/>
  <c r="M18" i="2" s="1"/>
  <c r="F64" i="2"/>
  <c r="F52" i="2"/>
  <c r="F48" i="2"/>
  <c r="F51" i="2"/>
  <c r="J16" i="2"/>
  <c r="K16" i="2" s="1"/>
  <c r="L16" i="2" s="1"/>
  <c r="M16" i="2" s="1"/>
  <c r="F50" i="2"/>
  <c r="M9" i="2"/>
  <c r="D90" i="2"/>
  <c r="E90" i="2" s="1"/>
  <c r="C91" i="2"/>
  <c r="D89" i="2"/>
  <c r="E89" i="2" s="1"/>
  <c r="F89" i="2"/>
  <c r="C96" i="2"/>
  <c r="F96" i="2" s="1"/>
  <c r="S5" i="2" l="1"/>
  <c r="T9" i="2"/>
  <c r="T5" i="2" s="1"/>
  <c r="L5" i="2"/>
  <c r="M5" i="2"/>
  <c r="D92" i="2"/>
  <c r="E92" i="2" s="1"/>
  <c r="C93" i="2"/>
  <c r="D91" i="2"/>
  <c r="E91" i="2" s="1"/>
  <c r="F91" i="2"/>
  <c r="C98" i="2"/>
  <c r="F98" i="2" s="1"/>
  <c r="I4" i="2" l="1"/>
  <c r="I2" i="2"/>
  <c r="D94" i="2"/>
  <c r="E94" i="2" s="1"/>
  <c r="F93" i="2"/>
  <c r="C95" i="2"/>
  <c r="D93" i="2"/>
  <c r="E93" i="2" s="1"/>
  <c r="C100" i="2"/>
  <c r="F100" i="2" s="1"/>
  <c r="D96" i="2" l="1"/>
  <c r="E96" i="2" s="1"/>
  <c r="C97" i="2"/>
  <c r="D95" i="2"/>
  <c r="E95" i="2" s="1"/>
  <c r="F95" i="2"/>
  <c r="D98" i="2" l="1"/>
  <c r="E98" i="2" s="1"/>
  <c r="D97" i="2"/>
  <c r="E97" i="2" s="1"/>
  <c r="F97" i="2"/>
  <c r="C99" i="2"/>
  <c r="D100" i="2" l="1"/>
  <c r="E100" i="2" s="1"/>
  <c r="F99" i="2"/>
  <c r="D99" i="2"/>
  <c r="E99" i="2" s="1"/>
  <c r="E16" i="18" l="1"/>
  <c r="E24" i="18" s="1"/>
  <c r="E27" i="18" s="1"/>
  <c r="N7" i="18" s="1"/>
  <c r="E19" i="18"/>
  <c r="E26" i="18" l="1"/>
</calcChain>
</file>

<file path=xl/comments1.xml><?xml version="1.0" encoding="utf-8"?>
<comments xmlns="http://schemas.openxmlformats.org/spreadsheetml/2006/main">
  <authors>
    <author>Paolo Franchin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Paolo Franchin:</t>
        </r>
        <r>
          <rPr>
            <sz val="9"/>
            <color indexed="81"/>
            <rFont val="Tahoma"/>
            <family val="2"/>
          </rPr>
          <t xml:space="preserve">
Il foglio assume che vengano incollare ELEMENT JOINT FORCES con sollecitazione nel riferimento globale, e pilastri con asse 1 (RED) parallelo a +Z. Pertanto N per il nodo superiore viene sempre cambiato di segno.</t>
        </r>
      </text>
    </comment>
  </commentList>
</comments>
</file>

<file path=xl/comments2.xml><?xml version="1.0" encoding="utf-8"?>
<comments xmlns="http://schemas.openxmlformats.org/spreadsheetml/2006/main">
  <authors>
    <author>Paolo Franchin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Paolo Franchin:</t>
        </r>
        <r>
          <rPr>
            <sz val="9"/>
            <color indexed="81"/>
            <rFont val="Tahoma"/>
            <family val="2"/>
          </rPr>
          <t xml:space="preserve">
positivo compressione</t>
        </r>
      </text>
    </comment>
  </commentList>
</comments>
</file>

<file path=xl/comments3.xml><?xml version="1.0" encoding="utf-8"?>
<comments xmlns="http://schemas.openxmlformats.org/spreadsheetml/2006/main">
  <authors>
    <author>Utente Windows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Utente Windows:</t>
        </r>
        <r>
          <rPr>
            <sz val="9"/>
            <color indexed="81"/>
            <rFont val="Tahoma"/>
            <family val="2"/>
          </rPr>
          <t xml:space="preserve">
Incollare valori in modo che rimanga la formattazione rossa</t>
        </r>
      </text>
    </comment>
  </commentList>
</comments>
</file>

<file path=xl/sharedStrings.xml><?xml version="1.0" encoding="utf-8"?>
<sst xmlns="http://schemas.openxmlformats.org/spreadsheetml/2006/main" count="331" uniqueCount="200">
  <si>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 xml:space="preserve"> [kPa]</t>
    </r>
  </si>
  <si>
    <r>
      <rPr>
        <b/>
        <sz val="11"/>
        <color theme="1"/>
        <rFont val="Symbol"/>
        <family val="1"/>
        <charset val="2"/>
      </rPr>
      <t>e</t>
    </r>
    <r>
      <rPr>
        <b/>
        <sz val="11"/>
        <color theme="1"/>
        <rFont val="Calibri"/>
        <family val="2"/>
        <scheme val="minor"/>
      </rPr>
      <t xml:space="preserve"> [-]</t>
    </r>
  </si>
  <si>
    <t>S [m3]</t>
  </si>
  <si>
    <t>dA [m2]</t>
  </si>
  <si>
    <t>y [m]</t>
  </si>
  <si>
    <t>h [m]</t>
  </si>
  <si>
    <t>dh [m]</t>
  </si>
  <si>
    <r>
      <t>b</t>
    </r>
    <r>
      <rPr>
        <b/>
        <vertAlign val="subscript"/>
        <sz val="11"/>
        <color theme="1"/>
        <rFont val="Calibri"/>
        <family val="2"/>
        <scheme val="minor"/>
      </rPr>
      <t>inf</t>
    </r>
    <r>
      <rPr>
        <b/>
        <sz val="11"/>
        <color theme="1"/>
        <rFont val="Calibri"/>
        <family val="2"/>
        <scheme val="minor"/>
      </rPr>
      <t xml:space="preserve"> [m]</t>
    </r>
  </si>
  <si>
    <r>
      <t>b</t>
    </r>
    <r>
      <rPr>
        <b/>
        <vertAlign val="subscript"/>
        <sz val="11"/>
        <color theme="1"/>
        <rFont val="Calibri"/>
        <family val="2"/>
        <scheme val="minor"/>
      </rPr>
      <t>sup</t>
    </r>
    <r>
      <rPr>
        <b/>
        <sz val="11"/>
        <color theme="1"/>
        <rFont val="Calibri"/>
        <family val="2"/>
        <scheme val="minor"/>
      </rPr>
      <t xml:space="preserve"> [m]</t>
    </r>
  </si>
  <si>
    <t>A [m2]</t>
  </si>
  <si>
    <t>H [m]</t>
  </si>
  <si>
    <r>
      <t>y</t>
    </r>
    <r>
      <rPr>
        <b/>
        <vertAlign val="subscript"/>
        <sz val="11"/>
        <color theme="1"/>
        <rFont val="Calibri"/>
        <family val="2"/>
        <scheme val="minor"/>
      </rPr>
      <t>G</t>
    </r>
    <r>
      <rPr>
        <b/>
        <sz val="11"/>
        <color theme="1"/>
        <rFont val="Calibri"/>
        <family val="2"/>
        <scheme val="minor"/>
      </rPr>
      <t xml:space="preserve"> [m]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</si>
  <si>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Arial"/>
        <family val="2"/>
      </rPr>
      <t>c0</t>
    </r>
    <r>
      <rPr>
        <b/>
        <sz val="11"/>
        <color theme="1"/>
        <rFont val="Calibri"/>
        <family val="2"/>
        <scheme val="minor"/>
      </rPr>
      <t xml:space="preserve"> [-]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</si>
  <si>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[cm2]</t>
    </r>
  </si>
  <si>
    <r>
      <t>E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[GPa]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</si>
  <si>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[MPa]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</si>
  <si>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 [MPa]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</si>
  <si>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 [kN]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</si>
  <si>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 [kNm]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</si>
  <si>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[kNm]</t>
    </r>
  </si>
  <si>
    <t>N [kN]</t>
  </si>
  <si>
    <t>M [kNm]</t>
  </si>
  <si>
    <r>
      <t>N</t>
    </r>
    <r>
      <rPr>
        <b/>
        <vertAlign val="sub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[kN]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</si>
  <si>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Arial"/>
        <family val="2"/>
      </rPr>
      <t>cu</t>
    </r>
    <r>
      <rPr>
        <b/>
        <sz val="11"/>
        <color theme="1"/>
        <rFont val="Calibri"/>
        <family val="2"/>
        <scheme val="minor"/>
      </rPr>
      <t xml:space="preserve"> [-]</t>
    </r>
  </si>
  <si>
    <r>
      <rPr>
        <b/>
        <sz val="11"/>
        <color theme="1"/>
        <rFont val="Symbol"/>
        <family val="1"/>
        <charset val="2"/>
      </rPr>
      <t>f</t>
    </r>
    <r>
      <rPr>
        <b/>
        <sz val="11"/>
        <color theme="1"/>
        <rFont val="Calibri"/>
        <family val="2"/>
        <scheme val="minor"/>
      </rPr>
      <t xml:space="preserve"> [m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</si>
  <si>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min</t>
    </r>
    <r>
      <rPr>
        <b/>
        <sz val="11"/>
        <color theme="1"/>
        <rFont val="Calibri"/>
        <family val="2"/>
        <scheme val="minor"/>
      </rPr>
      <t xml:space="preserve"> [kN]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</si>
  <si>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max</t>
    </r>
    <r>
      <rPr>
        <b/>
        <sz val="11"/>
        <color theme="1"/>
        <rFont val="Calibri"/>
        <family val="2"/>
        <scheme val="minor"/>
      </rPr>
      <t xml:space="preserve"> [kN]</t>
    </r>
  </si>
  <si>
    <r>
      <t>dM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[kNm]</t>
    </r>
  </si>
  <si>
    <r>
      <t>dN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[kNm]</t>
    </r>
  </si>
  <si>
    <r>
      <t>dN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 [kN]</t>
    </r>
  </si>
  <si>
    <r>
      <t>dM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 [kNm]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</si>
  <si>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[kNm]</t>
    </r>
  </si>
  <si>
    <t>Calcestruzzo (max 30 fibre)</t>
  </si>
  <si>
    <t>Acciaio (max 30 strati)</t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</si>
  <si>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Arial"/>
        <family val="2"/>
      </rPr>
      <t>su</t>
    </r>
    <r>
      <rPr>
        <b/>
        <sz val="11"/>
        <color theme="1"/>
        <rFont val="Calibri"/>
        <family val="2"/>
        <scheme val="minor"/>
      </rPr>
      <t xml:space="preserve"> [-]</t>
    </r>
  </si>
  <si>
    <t>Positivo</t>
  </si>
  <si>
    <t>b [cm]</t>
  </si>
  <si>
    <t>H [cm]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</si>
  <si>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</si>
  <si>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t>h [cm]</t>
  </si>
  <si>
    <r>
      <t>y</t>
    </r>
    <r>
      <rPr>
        <b/>
        <sz val="11"/>
        <color theme="1"/>
        <rFont val="Calibri"/>
        <family val="2"/>
        <scheme val="minor"/>
      </rPr>
      <t xml:space="preserve"> [cm]</t>
    </r>
  </si>
  <si>
    <t>z [cm]</t>
  </si>
  <si>
    <r>
      <rPr>
        <b/>
        <sz val="11"/>
        <color theme="1"/>
        <rFont val="Symbol"/>
        <family val="1"/>
        <charset val="2"/>
      </rPr>
      <t>f</t>
    </r>
    <r>
      <rPr>
        <b/>
        <sz val="11"/>
        <color theme="1"/>
        <rFont val="Calibri"/>
        <family val="2"/>
        <scheme val="minor"/>
      </rPr>
      <t xml:space="preserve"> [1/m]</t>
    </r>
  </si>
  <si>
    <t>Moment-curvature diagram for a rectangular section with tension-reinforcement only</t>
  </si>
  <si>
    <t>Concrete</t>
  </si>
  <si>
    <t>Steel</t>
  </si>
  <si>
    <t>Geometry</t>
  </si>
  <si>
    <t>Yielding</t>
  </si>
  <si>
    <t>Ultimate</t>
  </si>
  <si>
    <t>Cracking</t>
  </si>
  <si>
    <t>Origin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</si>
  <si>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[cm]</t>
    </r>
  </si>
  <si>
    <r>
      <t>E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 [GPa]</t>
    </r>
  </si>
  <si>
    <r>
      <t>n=E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>/E</t>
    </r>
    <r>
      <rPr>
        <b/>
        <vertAlign val="subscript"/>
        <sz val="11"/>
        <color theme="1"/>
        <rFont val="Calibri"/>
        <family val="2"/>
        <scheme val="minor"/>
      </rPr>
      <t>c</t>
    </r>
  </si>
  <si>
    <t>y/h [-]</t>
  </si>
  <si>
    <r>
      <t>f</t>
    </r>
    <r>
      <rPr>
        <b/>
        <vertAlign val="subscript"/>
        <sz val="11"/>
        <color theme="1"/>
        <rFont val="Calibri"/>
        <family val="2"/>
        <scheme val="minor"/>
      </rPr>
      <t>ct</t>
    </r>
    <r>
      <rPr>
        <b/>
        <sz val="11"/>
        <color theme="1"/>
        <rFont val="Calibri"/>
        <family val="2"/>
        <scheme val="minor"/>
      </rPr>
      <t xml:space="preserve"> [MPa]</t>
    </r>
  </si>
  <si>
    <t>c [cm]</t>
  </si>
  <si>
    <r>
      <rPr>
        <b/>
        <sz val="11"/>
        <color theme="1"/>
        <rFont val="Symbol"/>
        <family val="1"/>
        <charset val="2"/>
      </rPr>
      <t>m</t>
    </r>
    <r>
      <rPr>
        <b/>
        <vertAlign val="subscript"/>
        <sz val="11"/>
        <color theme="1"/>
        <rFont val="Symbol"/>
        <family val="1"/>
        <charset val="2"/>
      </rPr>
      <t>f</t>
    </r>
    <r>
      <rPr>
        <b/>
        <sz val="11"/>
        <color theme="1"/>
        <rFont val="Calibri"/>
        <family val="2"/>
        <scheme val="minor"/>
      </rPr>
      <t xml:space="preserve"> [-]</t>
    </r>
  </si>
  <si>
    <r>
      <rPr>
        <b/>
        <sz val="11"/>
        <color theme="1"/>
        <rFont val="Symbol"/>
        <family val="1"/>
        <charset val="2"/>
      </rPr>
      <t>f</t>
    </r>
    <r>
      <rPr>
        <b/>
        <vertAlign val="subscript"/>
        <sz val="11"/>
        <color theme="1"/>
        <rFont val="Calibri"/>
        <family val="2"/>
        <scheme val="minor"/>
      </rPr>
      <t>u,c</t>
    </r>
    <r>
      <rPr>
        <b/>
        <sz val="11"/>
        <color theme="1"/>
        <rFont val="Calibri"/>
        <family val="2"/>
        <scheme val="minor"/>
      </rPr>
      <t xml:space="preserve"> [1/m]</t>
    </r>
  </si>
  <si>
    <r>
      <rPr>
        <b/>
        <sz val="11"/>
        <color theme="1"/>
        <rFont val="Symbol"/>
        <family val="1"/>
        <charset val="2"/>
      </rPr>
      <t>f</t>
    </r>
    <r>
      <rPr>
        <b/>
        <vertAlign val="subscript"/>
        <sz val="11"/>
        <color theme="1"/>
        <rFont val="Calibri"/>
        <family val="2"/>
        <scheme val="minor"/>
      </rPr>
      <t>u,s</t>
    </r>
    <r>
      <rPr>
        <b/>
        <sz val="11"/>
        <color theme="1"/>
        <rFont val="Calibri"/>
        <family val="2"/>
        <scheme val="minor"/>
      </rPr>
      <t xml:space="preserve"> [1/m]</t>
    </r>
  </si>
  <si>
    <t>caso base</t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</si>
  <si>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>/fc [-]</t>
    </r>
  </si>
  <si>
    <t>analitico</t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</si>
  <si>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Arial"/>
        <family val="2"/>
      </rPr>
      <t>G</t>
    </r>
    <r>
      <rPr>
        <b/>
        <sz val="11"/>
        <color theme="1"/>
        <rFont val="Calibri"/>
        <family val="2"/>
        <scheme val="minor"/>
      </rPr>
      <t xml:space="preserve"> [-]</t>
    </r>
  </si>
  <si>
    <t>numerico: 5 fibre</t>
  </si>
  <si>
    <t>numerico: 10 fibre</t>
  </si>
  <si>
    <t>numerico: 18 fibre</t>
  </si>
  <si>
    <t>N[kN]</t>
  </si>
  <si>
    <t>Moment-curvature diagram for a rectangular section with symmetric reinforcement and non-zero N</t>
  </si>
  <si>
    <t>C [kN]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</si>
  <si>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[kN]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</si>
  <si>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[kN]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</si>
  <si>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[kN]</t>
    </r>
  </si>
  <si>
    <t>T [kN]</t>
  </si>
  <si>
    <r>
      <t>y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 [cm]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</si>
  <si>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II</t>
    </r>
    <r>
      <rPr>
        <b/>
        <sz val="11"/>
        <color theme="1"/>
        <rFont val="Calibri"/>
        <family val="2"/>
        <scheme val="minor"/>
      </rPr>
      <t xml:space="preserve"> [cm]</t>
    </r>
  </si>
  <si>
    <t>A</t>
  </si>
  <si>
    <t>B</t>
  </si>
  <si>
    <t>C</t>
  </si>
  <si>
    <r>
      <t>y</t>
    </r>
    <r>
      <rPr>
        <b/>
        <vertAlign val="subscript"/>
        <sz val="11"/>
        <color theme="1"/>
        <rFont val="Calibri"/>
        <family val="2"/>
        <scheme val="minor"/>
      </rPr>
      <t>III</t>
    </r>
    <r>
      <rPr>
        <b/>
        <sz val="11"/>
        <color theme="1"/>
        <rFont val="Calibri"/>
        <family val="2"/>
        <scheme val="minor"/>
      </rPr>
      <t xml:space="preserve"> [cm]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</si>
  <si>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ct=</t>
    </r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cu</t>
    </r>
    <r>
      <rPr>
        <b/>
        <sz val="11"/>
        <color theme="1"/>
        <rFont val="Calibri"/>
        <family val="2"/>
        <scheme val="minor"/>
      </rPr>
      <t xml:space="preserve"> [-]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</si>
  <si>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ct</t>
    </r>
    <r>
      <rPr>
        <b/>
        <sz val="11"/>
        <color theme="1"/>
        <rFont val="Calibri"/>
        <family val="2"/>
        <scheme val="minor"/>
      </rPr>
      <t xml:space="preserve"> [-]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</si>
  <si>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s1</t>
    </r>
    <r>
      <rPr>
        <b/>
        <sz val="11"/>
        <color theme="1"/>
        <rFont val="Calibri"/>
        <family val="2"/>
        <scheme val="minor"/>
      </rPr>
      <t xml:space="preserve"> [-]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</si>
  <si>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G</t>
    </r>
    <r>
      <rPr>
        <b/>
        <sz val="11"/>
        <color theme="1"/>
        <rFont val="Calibri"/>
        <family val="2"/>
        <scheme val="minor"/>
      </rPr>
      <t xml:space="preserve"> [-]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</si>
  <si>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s2=</t>
    </r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y</t>
    </r>
    <r>
      <rPr>
        <b/>
        <sz val="11"/>
        <color theme="1"/>
        <rFont val="Calibri"/>
        <family val="2"/>
        <scheme val="minor"/>
      </rPr>
      <t xml:space="preserve"> [-]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</si>
  <si>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s2</t>
    </r>
    <r>
      <rPr>
        <b/>
        <sz val="11"/>
        <color theme="1"/>
        <rFont val="Calibri"/>
        <family val="2"/>
        <scheme val="minor"/>
      </rPr>
      <t xml:space="preserve"> [-]</t>
    </r>
  </si>
  <si>
    <r>
      <rPr>
        <b/>
        <sz val="11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 Light"/>
        <family val="2"/>
        <scheme val="major"/>
      </rPr>
      <t>cb</t>
    </r>
    <r>
      <rPr>
        <b/>
        <sz val="11"/>
        <color theme="1"/>
        <rFont val="Calibri"/>
        <family val="2"/>
        <scheme val="minor"/>
      </rPr>
      <t xml:space="preserve"> [-]</t>
    </r>
  </si>
  <si>
    <t>y-H/2</t>
  </si>
  <si>
    <r>
      <rPr>
        <b/>
        <sz val="11"/>
        <color theme="0" tint="-0.249977111117893"/>
        <rFont val="Symbol"/>
        <family val="1"/>
        <charset val="2"/>
      </rPr>
      <t>e</t>
    </r>
    <r>
      <rPr>
        <b/>
        <vertAlign val="subscript"/>
        <sz val="11"/>
        <color theme="0" tint="-0.249977111117893"/>
        <rFont val="Calibri Light"/>
        <family val="2"/>
        <scheme val="major"/>
      </rPr>
      <t>s2</t>
    </r>
    <r>
      <rPr>
        <b/>
        <sz val="11"/>
        <color theme="0" tint="-0.249977111117893"/>
        <rFont val="Calibri"/>
        <family val="2"/>
        <scheme val="minor"/>
      </rPr>
      <t xml:space="preserve"> [-]</t>
    </r>
  </si>
  <si>
    <r>
      <rPr>
        <b/>
        <sz val="11"/>
        <color theme="0" tint="-0.249977111117893"/>
        <rFont val="Symbol"/>
        <family val="1"/>
        <charset val="2"/>
      </rPr>
      <t>e</t>
    </r>
    <r>
      <rPr>
        <b/>
        <vertAlign val="subscript"/>
        <sz val="11"/>
        <color theme="0" tint="-0.249977111117893"/>
        <rFont val="Calibri Light"/>
        <family val="2"/>
        <scheme val="major"/>
      </rPr>
      <t>G</t>
    </r>
    <r>
      <rPr>
        <b/>
        <sz val="11"/>
        <color theme="0" tint="-0.249977111117893"/>
        <rFont val="Calibri"/>
        <family val="2"/>
        <scheme val="minor"/>
      </rPr>
      <t xml:space="preserve"> [-]</t>
    </r>
  </si>
  <si>
    <r>
      <rPr>
        <b/>
        <sz val="11"/>
        <color theme="0" tint="-0.249977111117893"/>
        <rFont val="Symbol"/>
        <family val="1"/>
        <charset val="2"/>
      </rPr>
      <t>f</t>
    </r>
    <r>
      <rPr>
        <b/>
        <sz val="11"/>
        <color theme="0" tint="-0.249977111117893"/>
        <rFont val="Calibri"/>
        <family val="2"/>
        <scheme val="minor"/>
      </rPr>
      <t xml:space="preserve"> [1/m]</t>
    </r>
  </si>
  <si>
    <r>
      <rPr>
        <b/>
        <sz val="11"/>
        <color theme="0" tint="-0.249977111117893"/>
        <rFont val="Symbol"/>
        <family val="1"/>
        <charset val="2"/>
      </rPr>
      <t>e</t>
    </r>
    <r>
      <rPr>
        <b/>
        <vertAlign val="subscript"/>
        <sz val="11"/>
        <color theme="0" tint="-0.249977111117893"/>
        <rFont val="Calibri Light"/>
        <family val="2"/>
        <scheme val="major"/>
      </rPr>
      <t>s1</t>
    </r>
    <r>
      <rPr>
        <b/>
        <sz val="11"/>
        <color theme="0" tint="-0.249977111117893"/>
        <rFont val="Calibri"/>
        <family val="2"/>
        <scheme val="minor"/>
      </rPr>
      <t xml:space="preserve"> [-]</t>
    </r>
  </si>
  <si>
    <r>
      <t>E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[GPa],</t>
    </r>
    <r>
      <rPr>
        <b/>
        <sz val="11"/>
        <color theme="1"/>
        <rFont val="Symbol"/>
        <family val="1"/>
        <charset val="2"/>
      </rPr>
      <t>a</t>
    </r>
  </si>
  <si>
    <r>
      <rPr>
        <b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Symbol"/>
        <family val="1"/>
        <charset val="2"/>
      </rPr>
      <t>f</t>
    </r>
  </si>
  <si>
    <r>
      <rPr>
        <b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M</t>
    </r>
  </si>
  <si>
    <t>integral</t>
  </si>
  <si>
    <r>
      <rPr>
        <b/>
        <sz val="11"/>
        <color theme="1"/>
        <rFont val="Calibri"/>
        <family val="2"/>
        <scheme val="minor"/>
      </rPr>
      <t>du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Symbol"/>
        <family val="1"/>
        <charset val="2"/>
      </rPr>
      <t>f</t>
    </r>
  </si>
  <si>
    <r>
      <rPr>
        <b/>
        <sz val="11"/>
        <color theme="1"/>
        <rFont val="Calibri"/>
        <family val="2"/>
        <scheme val="minor"/>
      </rPr>
      <t>Fdu</t>
    </r>
    <r>
      <rPr>
        <sz val="11"/>
        <color theme="1"/>
        <rFont val="Calibri"/>
        <family val="2"/>
        <scheme val="minor"/>
      </rPr>
      <t xml:space="preserve"> or M</t>
    </r>
    <r>
      <rPr>
        <b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Symbol"/>
        <family val="1"/>
        <charset val="2"/>
      </rPr>
      <t>f</t>
    </r>
  </si>
  <si>
    <r>
      <rPr>
        <b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dM</t>
    </r>
  </si>
  <si>
    <t>k</t>
  </si>
  <si>
    <t>k=dF/du</t>
  </si>
  <si>
    <r>
      <t>k</t>
    </r>
    <r>
      <rPr>
        <sz val="11"/>
        <color theme="1"/>
        <rFont val="Calibri"/>
        <family val="2"/>
        <scheme val="minor"/>
      </rPr>
      <t>h</t>
    </r>
  </si>
  <si>
    <t>FranchinEEtoolbox is an Excel Workbook with simple tools for Earthquake Engineering "tinkering" used in support of the Earthquake Engineering courses at Sapienza</t>
  </si>
  <si>
    <t>SampleRecords</t>
  </si>
  <si>
    <t>Contains ground acceleration time series recorded in real events (currently only El Centro)</t>
  </si>
  <si>
    <t>Duhamel</t>
  </si>
  <si>
    <t>Computes SDOF response in time-domain through Duhamel's integral (SLOW…)</t>
  </si>
  <si>
    <t>NM2M3</t>
  </si>
  <si>
    <t>Ghersi and Muratore approximate analytical interaction domain for rectangular sections</t>
  </si>
  <si>
    <t>Mphi(N=0)</t>
  </si>
  <si>
    <t>Analytical 3-points moment-curvature diagram for rectangular section and simple reinforcement</t>
  </si>
  <si>
    <t>Mphi(N)</t>
  </si>
  <si>
    <t>Analytical 3-points moment-curvature diagram for rectangular section and double (symmetric) reinforcement with assigned N</t>
  </si>
  <si>
    <t>Mphi stripes</t>
  </si>
  <si>
    <t>Numerical moment-curvature diagram for sections having one axis of symmetry and multiple reinforcement layers (parabola-rectangle concrete and bilinear steel)</t>
  </si>
  <si>
    <t>bilin</t>
  </si>
  <si>
    <t>bilinearizes assigned curve (moment-curvature, force-displacement, etc)</t>
  </si>
  <si>
    <t>This software is free. There may be bugs. They are also free (be my guest). Actually, fixing bugs makes for an excellent learning experience. Obviuosly I am not liable for results obtained with these tools.</t>
  </si>
  <si>
    <t>[-]</t>
  </si>
  <si>
    <t>m</t>
  </si>
  <si>
    <t>kNm</t>
  </si>
  <si>
    <t>Piano di flessione //b</t>
  </si>
  <si>
    <t>4.b)</t>
  </si>
  <si>
    <t>Piano di flessione //H</t>
  </si>
  <si>
    <t>4.a)</t>
  </si>
  <si>
    <t>Contributi acciaio e cls a MR</t>
  </si>
  <si>
    <t>4)</t>
  </si>
  <si>
    <t>kN</t>
  </si>
  <si>
    <t>Contributi acciaio e cls a NR</t>
  </si>
  <si>
    <t>mm</t>
  </si>
  <si>
    <t>n//B</t>
  </si>
  <si>
    <t>n//H</t>
  </si>
  <si>
    <t>Armatura</t>
  </si>
  <si>
    <t>3)</t>
  </si>
  <si>
    <t>cm</t>
  </si>
  <si>
    <t>c</t>
  </si>
  <si>
    <t>%</t>
  </si>
  <si>
    <r>
      <rPr>
        <sz val="10"/>
        <rFont val="Symbol"/>
        <family val="1"/>
      </rPr>
      <t>r</t>
    </r>
  </si>
  <si>
    <t>H</t>
  </si>
  <si>
    <t>b</t>
  </si>
  <si>
    <t>L</t>
  </si>
  <si>
    <t>Carpenteria</t>
  </si>
  <si>
    <t>2)</t>
  </si>
  <si>
    <t>MPa</t>
  </si>
  <si>
    <t>verifica</t>
  </si>
  <si>
    <t>Load case</t>
  </si>
  <si>
    <t>N corretto</t>
  </si>
  <si>
    <t>Dominio</t>
  </si>
  <si>
    <t>5)</t>
  </si>
  <si>
    <t>Materiali</t>
  </si>
  <si>
    <t>1)</t>
  </si>
  <si>
    <t>Sollecitazioni in input da Sap</t>
  </si>
  <si>
    <t>Pressoflessione deviata, pilastri sezione rettangolare (input n rosso)</t>
  </si>
  <si>
    <t>INPUT</t>
  </si>
  <si>
    <t>CoM vs CoR</t>
  </si>
  <si>
    <t>Center of Mass and Center of Rigidity of a floor plan</t>
  </si>
  <si>
    <t>ShearStrength</t>
  </si>
  <si>
    <t xml:space="preserve">Shear strength model according to fib MC2010 (all three levels of approximation) </t>
  </si>
  <si>
    <t>OneWayFloorSlab</t>
  </si>
  <si>
    <t>Flexural and shear verification of one-way floor slab</t>
  </si>
  <si>
    <t>f</t>
  </si>
  <si>
    <r>
      <t>Verifica di appartenenza del punto (M</t>
    </r>
    <r>
      <rPr>
        <vertAlign val="subscript"/>
        <sz val="10"/>
        <rFont val="Arial"/>
        <family val="2"/>
      </rPr>
      <t>Ed,H</t>
    </r>
    <r>
      <rPr>
        <sz val="10"/>
        <rFont val="Arial"/>
        <family val="2"/>
      </rPr>
      <t>,M</t>
    </r>
    <r>
      <rPr>
        <vertAlign val="subscript"/>
        <sz val="10"/>
        <rFont val="Arial"/>
        <family val="2"/>
      </rPr>
      <t>Ed,b</t>
    </r>
    <r>
      <rPr>
        <sz val="10"/>
        <rFont val="Arial"/>
        <family val="2"/>
      </rPr>
      <t>) al dominio M</t>
    </r>
    <r>
      <rPr>
        <vertAlign val="subscript"/>
        <sz val="10"/>
        <rFont val="Arial"/>
        <family val="2"/>
      </rPr>
      <t>Rd</t>
    </r>
    <r>
      <rPr>
        <sz val="10"/>
        <rFont val="Arial"/>
        <family val="2"/>
      </rPr>
      <t>(N</t>
    </r>
    <r>
      <rPr>
        <vertAlign val="subscript"/>
        <sz val="10"/>
        <rFont val="Arial"/>
        <family val="2"/>
      </rPr>
      <t>Ed</t>
    </r>
    <r>
      <rPr>
        <sz val="10"/>
        <rFont val="Arial"/>
        <family val="2"/>
      </rPr>
      <t>)</t>
    </r>
  </si>
  <si>
    <r>
      <t>N</t>
    </r>
    <r>
      <rPr>
        <vertAlign val="subscript"/>
        <sz val="10"/>
        <rFont val="Arial"/>
        <family val="2"/>
      </rPr>
      <t>Ed</t>
    </r>
  </si>
  <si>
    <r>
      <t>M</t>
    </r>
    <r>
      <rPr>
        <vertAlign val="subscript"/>
        <sz val="10"/>
        <rFont val="Arial"/>
        <family val="2"/>
      </rPr>
      <t>Ed,H</t>
    </r>
  </si>
  <si>
    <r>
      <t>M</t>
    </r>
    <r>
      <rPr>
        <vertAlign val="subscript"/>
        <sz val="10"/>
        <rFont val="Arial"/>
        <family val="2"/>
      </rPr>
      <t>Ed,b</t>
    </r>
  </si>
  <si>
    <r>
      <t>N</t>
    </r>
    <r>
      <rPr>
        <vertAlign val="subscript"/>
        <sz val="10"/>
        <rFont val="Arial"/>
        <family val="2"/>
      </rPr>
      <t>Rd</t>
    </r>
  </si>
  <si>
    <r>
      <t>M</t>
    </r>
    <r>
      <rPr>
        <vertAlign val="subscript"/>
        <sz val="10"/>
        <rFont val="Arial"/>
        <family val="2"/>
      </rPr>
      <t>Rd,H</t>
    </r>
  </si>
  <si>
    <r>
      <t>M</t>
    </r>
    <r>
      <rPr>
        <vertAlign val="subscript"/>
        <sz val="10"/>
        <rFont val="Arial"/>
        <family val="2"/>
      </rPr>
      <t>Rd,b</t>
    </r>
  </si>
  <si>
    <r>
      <t>f</t>
    </r>
    <r>
      <rPr>
        <vertAlign val="subscript"/>
        <sz val="10"/>
        <rFont val="Arial"/>
        <family val="2"/>
      </rPr>
      <t>cd</t>
    </r>
  </si>
  <si>
    <r>
      <t>f</t>
    </r>
    <r>
      <rPr>
        <vertAlign val="subscript"/>
        <sz val="10"/>
        <rFont val="Arial"/>
        <family val="2"/>
      </rPr>
      <t>yd</t>
    </r>
  </si>
  <si>
    <r>
      <t>A</t>
    </r>
    <r>
      <rPr>
        <vertAlign val="subscript"/>
        <sz val="10"/>
        <rFont val="Arial"/>
        <family val="2"/>
      </rPr>
      <t>c</t>
    </r>
  </si>
  <si>
    <r>
      <t>A</t>
    </r>
    <r>
      <rPr>
        <vertAlign val="subscript"/>
        <sz val="10"/>
        <rFont val="Arial"/>
        <family val="2"/>
      </rPr>
      <t>sz</t>
    </r>
    <r>
      <rPr>
        <sz val="10"/>
        <rFont val="Arial"/>
        <family val="2"/>
      </rPr>
      <t xml:space="preserve"> //H</t>
    </r>
  </si>
  <si>
    <r>
      <t>A</t>
    </r>
    <r>
      <rPr>
        <vertAlign val="subscript"/>
        <sz val="10"/>
        <rFont val="Arial"/>
        <family val="2"/>
      </rPr>
      <t>sy</t>
    </r>
    <r>
      <rPr>
        <sz val="10"/>
        <rFont val="Arial"/>
        <family val="2"/>
      </rPr>
      <t xml:space="preserve"> //H</t>
    </r>
  </si>
  <si>
    <r>
      <t>A</t>
    </r>
    <r>
      <rPr>
        <vertAlign val="subscript"/>
        <sz val="10"/>
        <rFont val="Arial"/>
        <family val="2"/>
      </rPr>
      <t>sz</t>
    </r>
    <r>
      <rPr>
        <sz val="10"/>
        <rFont val="Arial"/>
        <family val="2"/>
      </rPr>
      <t xml:space="preserve"> //b</t>
    </r>
  </si>
  <si>
    <r>
      <t>A</t>
    </r>
    <r>
      <rPr>
        <vertAlign val="subscript"/>
        <sz val="10"/>
        <rFont val="Arial"/>
        <family val="2"/>
      </rPr>
      <t>sy</t>
    </r>
    <r>
      <rPr>
        <sz val="10"/>
        <rFont val="Arial"/>
        <family val="2"/>
      </rPr>
      <t xml:space="preserve"> //b</t>
    </r>
  </si>
  <si>
    <r>
      <t>N</t>
    </r>
    <r>
      <rPr>
        <vertAlign val="subscript"/>
        <sz val="10"/>
        <rFont val="Arial"/>
        <family val="2"/>
      </rPr>
      <t>cRd</t>
    </r>
  </si>
  <si>
    <r>
      <t>N</t>
    </r>
    <r>
      <rPr>
        <vertAlign val="subscript"/>
        <sz val="10"/>
        <rFont val="Arial"/>
        <family val="2"/>
      </rPr>
      <t>szRd</t>
    </r>
  </si>
  <si>
    <r>
      <t>N</t>
    </r>
    <r>
      <rPr>
        <vertAlign val="subscript"/>
        <sz val="10"/>
        <rFont val="Arial"/>
        <family val="2"/>
      </rPr>
      <t>syRd</t>
    </r>
  </si>
  <si>
    <r>
      <t>M</t>
    </r>
    <r>
      <rPr>
        <vertAlign val="subscript"/>
        <sz val="10"/>
        <rFont val="Arial"/>
        <family val="2"/>
      </rPr>
      <t>cRd</t>
    </r>
  </si>
  <si>
    <r>
      <t>M</t>
    </r>
    <r>
      <rPr>
        <vertAlign val="subscript"/>
        <sz val="10"/>
        <rFont val="Arial"/>
        <family val="2"/>
      </rPr>
      <t>szRd</t>
    </r>
  </si>
  <si>
    <r>
      <t>M</t>
    </r>
    <r>
      <rPr>
        <vertAlign val="subscript"/>
        <sz val="10"/>
        <rFont val="Arial"/>
        <family val="2"/>
      </rPr>
      <t>syRd</t>
    </r>
  </si>
  <si>
    <r>
      <t>M/M</t>
    </r>
    <r>
      <rPr>
        <vertAlign val="subscript"/>
        <sz val="10"/>
        <rFont val="Arial"/>
        <family val="2"/>
      </rPr>
      <t>Rd,H</t>
    </r>
  </si>
  <si>
    <r>
      <t>cm</t>
    </r>
    <r>
      <rPr>
        <vertAlign val="superscript"/>
        <sz val="10"/>
        <rFont val="Arial"/>
        <family val="2"/>
      </rPr>
      <t>2</t>
    </r>
  </si>
  <si>
    <t>Verifica (da incollare in relazione)</t>
  </si>
  <si>
    <t>SLU</t>
  </si>
  <si>
    <t>PILASTRI</t>
  </si>
  <si>
    <t>Estendere o cancellare</t>
  </si>
  <si>
    <r>
      <rPr>
        <b/>
        <sz val="11"/>
        <color theme="1"/>
        <rFont val="Symbol"/>
        <family val="1"/>
        <charset val="2"/>
      </rPr>
      <t>f</t>
    </r>
    <r>
      <rPr>
        <vertAlign val="subscript"/>
        <sz val="11"/>
        <color theme="1"/>
        <rFont val="Calibri"/>
        <family val="2"/>
        <scheme val="minor"/>
      </rPr>
      <t>y</t>
    </r>
  </si>
  <si>
    <r>
      <t>M</t>
    </r>
    <r>
      <rPr>
        <vertAlign val="subscript"/>
        <sz val="11"/>
        <color theme="1"/>
        <rFont val="Calibri"/>
        <family val="2"/>
        <scheme val="minor"/>
      </rPr>
      <t>y</t>
    </r>
  </si>
  <si>
    <r>
      <rPr>
        <b/>
        <sz val="11"/>
        <color theme="1"/>
        <rFont val="Symbol"/>
        <family val="1"/>
        <charset val="2"/>
      </rPr>
      <t>m</t>
    </r>
    <r>
      <rPr>
        <b/>
        <vertAlign val="subscript"/>
        <sz val="11"/>
        <color theme="1"/>
        <rFont val="Symbol"/>
        <family val="1"/>
        <charset val="2"/>
      </rPr>
      <t>f</t>
    </r>
  </si>
  <si>
    <r>
      <t>caso a: k</t>
    </r>
    <r>
      <rPr>
        <b/>
        <vertAlign val="subscript"/>
        <sz val="11"/>
        <color theme="1"/>
        <rFont val="Calibri"/>
        <family val="2"/>
        <scheme val="minor"/>
      </rPr>
      <t>h</t>
    </r>
    <r>
      <rPr>
        <b/>
        <sz val="11"/>
        <color theme="1"/>
        <rFont val="Calibri"/>
        <family val="2"/>
        <scheme val="minor"/>
      </rPr>
      <t>=0</t>
    </r>
  </si>
  <si>
    <r>
      <rPr>
        <b/>
        <sz val="11"/>
        <color theme="1"/>
        <rFont val="Symbol"/>
        <family val="1"/>
        <charset val="2"/>
      </rPr>
      <t>f</t>
    </r>
    <r>
      <rPr>
        <vertAlign val="subscript"/>
        <sz val="11"/>
        <color theme="1"/>
        <rFont val="Calibri"/>
        <family val="2"/>
        <scheme val="minor"/>
      </rPr>
      <t>u</t>
    </r>
  </si>
  <si>
    <r>
      <t>M</t>
    </r>
    <r>
      <rPr>
        <vertAlign val="subscript"/>
        <sz val="11"/>
        <color theme="1"/>
        <rFont val="Calibri"/>
        <family val="2"/>
        <scheme val="minor"/>
      </rPr>
      <t>u</t>
    </r>
  </si>
  <si>
    <r>
      <t>caso b: k</t>
    </r>
    <r>
      <rPr>
        <b/>
        <vertAlign val="subscript"/>
        <sz val="11"/>
        <color theme="1"/>
        <rFont val="Calibri"/>
        <family val="2"/>
        <scheme val="minor"/>
      </rPr>
      <t>h</t>
    </r>
    <r>
      <rPr>
        <b/>
        <sz val="11"/>
        <color theme="1"/>
        <rFont val="Calibri"/>
        <family val="2"/>
        <scheme val="minor"/>
      </rPr>
      <t>&gt;0</t>
    </r>
  </si>
  <si>
    <r>
      <t>caso c: k</t>
    </r>
    <r>
      <rPr>
        <b/>
        <vertAlign val="subscript"/>
        <sz val="11"/>
        <color theme="1"/>
        <rFont val="Calibri"/>
        <family val="2"/>
        <scheme val="minor"/>
      </rPr>
      <t>h</t>
    </r>
    <r>
      <rPr>
        <b/>
        <sz val="11"/>
        <color theme="1"/>
        <rFont val="Calibri"/>
        <family val="2"/>
        <scheme val="minor"/>
      </rPr>
      <t>&gt;0</t>
    </r>
  </si>
  <si>
    <t>NTCbeams</t>
  </si>
  <si>
    <t>ADRS</t>
  </si>
  <si>
    <t>Flexural reinforcement in beams according to Italian code NTC2018</t>
  </si>
  <si>
    <t>Acceleration-displacement response spectrum</t>
  </si>
  <si>
    <t>This version 0.5 contains (bold denotes addition to previous version):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</si>
</sst>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3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Symbol"/>
      <family val="1"/>
      <charset val="2"/>
    </font>
    <font>
      <sz val="11"/>
      <color rgb="FF000000"/>
      <name val="Calibri"/>
      <family val="2"/>
    </font>
    <font>
      <sz val="11"/>
      <color theme="0" tint="-0.24994659260841701"/>
      <name val="Calibri"/>
      <family val="2"/>
      <scheme val="minor"/>
    </font>
    <font>
      <sz val="11"/>
      <color rgb="FF000000"/>
      <name val="Arial"/>
      <family val="2"/>
    </font>
    <font>
      <vertAlign val="subscript"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b/>
      <sz val="11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vertAlign val="subscript"/>
      <sz val="11"/>
      <color theme="1"/>
      <name val="Calibri Light"/>
      <family val="2"/>
      <scheme val="maj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</font>
    <font>
      <b/>
      <sz val="11"/>
      <color theme="0" tint="-0.249977111117893"/>
      <name val="Calibri"/>
      <family val="1"/>
      <charset val="2"/>
      <scheme val="minor"/>
    </font>
    <font>
      <b/>
      <sz val="11"/>
      <color theme="0" tint="-0.249977111117893"/>
      <name val="Symbol"/>
      <family val="1"/>
      <charset val="2"/>
    </font>
    <font>
      <b/>
      <vertAlign val="subscript"/>
      <sz val="11"/>
      <color theme="0" tint="-0.249977111117893"/>
      <name val="Calibri Light"/>
      <family val="2"/>
      <scheme val="major"/>
    </font>
    <font>
      <sz val="11"/>
      <color theme="1"/>
      <name val="Calibri"/>
      <family val="1"/>
      <charset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name val="Symbol"/>
      <family val="1"/>
    </font>
    <font>
      <vertAlign val="subscript"/>
      <sz val="11"/>
      <color theme="1"/>
      <name val="Calibri"/>
      <family val="2"/>
      <scheme val="minor"/>
    </font>
    <font>
      <vertAlign val="subscript"/>
      <sz val="10"/>
      <name val="Arial"/>
      <family val="2"/>
    </font>
    <font>
      <vertAlign val="superscript"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6" fillId="0" borderId="0" applyFont="0" applyFill="0" applyBorder="0" applyAlignment="0" applyProtection="0"/>
    <xf numFmtId="0" fontId="30" fillId="0" borderId="0"/>
  </cellStyleXfs>
  <cellXfs count="8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3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0" fontId="20" fillId="0" borderId="0" xfId="0" applyFont="1"/>
    <xf numFmtId="0" fontId="18" fillId="6" borderId="0" xfId="0" applyFont="1" applyFill="1"/>
    <xf numFmtId="0" fontId="0" fillId="6" borderId="0" xfId="0" applyFill="1" applyAlignment="1">
      <alignment horizontal="center"/>
    </xf>
    <xf numFmtId="11" fontId="2" fillId="0" borderId="0" xfId="0" applyNumberFormat="1" applyFont="1" applyAlignment="1">
      <alignment horizontal="center"/>
    </xf>
    <xf numFmtId="0" fontId="22" fillId="0" borderId="0" xfId="0" applyFont="1"/>
    <xf numFmtId="0" fontId="23" fillId="0" borderId="0" xfId="0" applyFont="1" applyAlignment="1">
      <alignment horizontal="center"/>
    </xf>
    <xf numFmtId="166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1" fontId="2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0" fontId="25" fillId="0" borderId="0" xfId="0" applyFont="1" applyAlignment="1">
      <alignment horizontal="center"/>
    </xf>
    <xf numFmtId="164" fontId="22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0" xfId="0" applyFont="1"/>
    <xf numFmtId="0" fontId="30" fillId="0" borderId="0" xfId="2"/>
    <xf numFmtId="0" fontId="30" fillId="0" borderId="0" xfId="2" applyAlignment="1">
      <alignment horizontal="right"/>
    </xf>
    <xf numFmtId="2" fontId="30" fillId="0" borderId="1" xfId="2" applyNumberFormat="1" applyBorder="1"/>
    <xf numFmtId="166" fontId="30" fillId="0" borderId="1" xfId="2" applyNumberFormat="1" applyBorder="1"/>
    <xf numFmtId="0" fontId="30" fillId="0" borderId="1" xfId="2" applyBorder="1"/>
    <xf numFmtId="1" fontId="30" fillId="0" borderId="1" xfId="2" applyNumberFormat="1" applyBorder="1"/>
    <xf numFmtId="0" fontId="30" fillId="0" borderId="2" xfId="2" applyBorder="1" applyAlignment="1">
      <alignment horizontal="right"/>
    </xf>
    <xf numFmtId="0" fontId="30" fillId="0" borderId="0" xfId="2" applyAlignment="1">
      <alignment horizontal="center"/>
    </xf>
    <xf numFmtId="0" fontId="31" fillId="0" borderId="1" xfId="2" applyFont="1" applyBorder="1"/>
    <xf numFmtId="0" fontId="32" fillId="0" borderId="0" xfId="2" applyFont="1"/>
    <xf numFmtId="0" fontId="33" fillId="0" borderId="1" xfId="2" applyFont="1" applyBorder="1"/>
    <xf numFmtId="0" fontId="34" fillId="0" borderId="0" xfId="2" applyFont="1"/>
    <xf numFmtId="166" fontId="31" fillId="0" borderId="1" xfId="2" applyNumberFormat="1" applyFont="1" applyBorder="1"/>
    <xf numFmtId="0" fontId="30" fillId="0" borderId="2" xfId="2" applyBorder="1"/>
    <xf numFmtId="0" fontId="30" fillId="0" borderId="3" xfId="2" applyBorder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30" fillId="0" borderId="1" xfId="2" applyFont="1" applyBorder="1"/>
    <xf numFmtId="166" fontId="30" fillId="0" borderId="0" xfId="2" applyNumberFormat="1" applyBorder="1"/>
    <xf numFmtId="0" fontId="30" fillId="0" borderId="0" xfId="2" applyFont="1"/>
    <xf numFmtId="1" fontId="30" fillId="0" borderId="1" xfId="2" applyNumberFormat="1" applyFont="1" applyBorder="1"/>
    <xf numFmtId="166" fontId="30" fillId="0" borderId="1" xfId="2" applyNumberFormat="1" applyFont="1" applyBorder="1" applyAlignment="1">
      <alignment horizontal="right" indent="2"/>
    </xf>
    <xf numFmtId="1" fontId="30" fillId="0" borderId="1" xfId="2" applyNumberFormat="1" applyFont="1" applyBorder="1" applyAlignment="1"/>
    <xf numFmtId="0" fontId="35" fillId="0" borderId="1" xfId="2" applyFont="1" applyBorder="1"/>
    <xf numFmtId="0" fontId="0" fillId="6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32" fillId="8" borderId="2" xfId="2" applyFont="1" applyFill="1" applyBorder="1" applyAlignment="1">
      <alignment horizontal="center"/>
    </xf>
    <xf numFmtId="0" fontId="32" fillId="8" borderId="0" xfId="2" applyFont="1" applyFill="1" applyAlignment="1">
      <alignment horizontal="center"/>
    </xf>
    <xf numFmtId="0" fontId="30" fillId="7" borderId="0" xfId="2" applyFill="1" applyAlignment="1">
      <alignment horizontal="center"/>
    </xf>
    <xf numFmtId="0" fontId="30" fillId="7" borderId="4" xfId="2" applyFill="1" applyBorder="1" applyAlignment="1">
      <alignment horizontal="center"/>
    </xf>
    <xf numFmtId="0" fontId="30" fillId="7" borderId="5" xfId="2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6" borderId="0" xfId="0" applyFont="1" applyFill="1" applyAlignment="1">
      <alignment horizontal="center"/>
    </xf>
  </cellXfs>
  <cellStyles count="3">
    <cellStyle name="Normale" xfId="0" builtinId="0"/>
    <cellStyle name="Normale 2" xfId="2"/>
    <cellStyle name="Percentuale" xfId="1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NM2M3!$F$19</c:f>
          <c:strCache>
            <c:ptCount val="1"/>
            <c:pt idx="0">
              <c:v>b=30,H=40,2f20//H,2f20//b</c:v>
            </c:pt>
          </c:strCache>
        </c:strRef>
      </c:tx>
      <c:layout>
        <c:manualLayout>
          <c:xMode val="edge"/>
          <c:yMode val="edge"/>
          <c:x val="0.12116797900262467"/>
          <c:y val="0.8783384412277806"/>
        </c:manualLayout>
      </c:layout>
      <c:overlay val="0"/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832295155105521"/>
          <c:y val="5.7397875333622582E-2"/>
          <c:w val="0.75688106035363945"/>
          <c:h val="0.68592838958180946"/>
        </c:manualLayout>
      </c:layout>
      <c:scatterChart>
        <c:scatterStyle val="lineMarker"/>
        <c:varyColors val="0"/>
        <c:ser>
          <c:idx val="0"/>
          <c:order val="0"/>
          <c:tx>
            <c:v>MRd,H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NM2M3!$F$4:$F$13</c:f>
              <c:numCache>
                <c:formatCode>0</c:formatCode>
                <c:ptCount val="10"/>
                <c:pt idx="0">
                  <c:v>-502.6548245743669</c:v>
                </c:pt>
                <c:pt idx="1">
                  <c:v>9.0462475532702342</c:v>
                </c:pt>
                <c:pt idx="2">
                  <c:v>520.74731968090737</c:v>
                </c:pt>
                <c:pt idx="3">
                  <c:v>1032.4483918085443</c:v>
                </c:pt>
                <c:pt idx="4">
                  <c:v>1544.1494639361817</c:v>
                </c:pt>
                <c:pt idx="5">
                  <c:v>2055.8505360638187</c:v>
                </c:pt>
                <c:pt idx="6">
                  <c:v>2567.5516081914557</c:v>
                </c:pt>
                <c:pt idx="7">
                  <c:v>3079.2526803190926</c:v>
                </c:pt>
                <c:pt idx="8">
                  <c:v>3590.95375244673</c:v>
                </c:pt>
                <c:pt idx="9">
                  <c:v>4102.654824574367</c:v>
                </c:pt>
              </c:numCache>
            </c:numRef>
          </c:xVal>
          <c:yVal>
            <c:numRef>
              <c:f>NM2M3!$G$4:$G$13</c:f>
              <c:numCache>
                <c:formatCode>0</c:formatCode>
                <c:ptCount val="10"/>
                <c:pt idx="0">
                  <c:v>0</c:v>
                </c:pt>
                <c:pt idx="1">
                  <c:v>95.618774027712988</c:v>
                </c:pt>
                <c:pt idx="2">
                  <c:v>171.3838046619758</c:v>
                </c:pt>
                <c:pt idx="3">
                  <c:v>225.60144196879344</c:v>
                </c:pt>
                <c:pt idx="4">
                  <c:v>255.17261300371013</c:v>
                </c:pt>
                <c:pt idx="5">
                  <c:v>249.65757250629377</c:v>
                </c:pt>
                <c:pt idx="6">
                  <c:v>212.65777794662429</c:v>
                </c:pt>
                <c:pt idx="7">
                  <c:v>152.15350899460847</c:v>
                </c:pt>
                <c:pt idx="8">
                  <c:v>70.661038098200663</c:v>
                </c:pt>
                <c:pt idx="9">
                  <c:v>-30.322370947297053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2-4271-835F-7E70693CCCFC}"/>
            </c:ext>
          </c:extLst>
        </c:ser>
        <c:ser>
          <c:idx val="1"/>
          <c:order val="1"/>
          <c:tx>
            <c:v>MRd,b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NM2M3!$F$4:$F$13</c:f>
              <c:numCache>
                <c:formatCode>0</c:formatCode>
                <c:ptCount val="10"/>
                <c:pt idx="0">
                  <c:v>-502.6548245743669</c:v>
                </c:pt>
                <c:pt idx="1">
                  <c:v>9.0462475532702342</c:v>
                </c:pt>
                <c:pt idx="2">
                  <c:v>520.74731968090737</c:v>
                </c:pt>
                <c:pt idx="3">
                  <c:v>1032.4483918085443</c:v>
                </c:pt>
                <c:pt idx="4">
                  <c:v>1544.1494639361817</c:v>
                </c:pt>
                <c:pt idx="5">
                  <c:v>2055.8505360638187</c:v>
                </c:pt>
                <c:pt idx="6">
                  <c:v>2567.5516081914557</c:v>
                </c:pt>
                <c:pt idx="7">
                  <c:v>3079.2526803190926</c:v>
                </c:pt>
                <c:pt idx="8">
                  <c:v>3590.95375244673</c:v>
                </c:pt>
                <c:pt idx="9">
                  <c:v>4102.654824574367</c:v>
                </c:pt>
              </c:numCache>
            </c:numRef>
          </c:xVal>
          <c:yVal>
            <c:numRef>
              <c:f>NM2M3!$H$4:$H$13</c:f>
              <c:numCache>
                <c:formatCode>0</c:formatCode>
                <c:ptCount val="10"/>
                <c:pt idx="0">
                  <c:v>0</c:v>
                </c:pt>
                <c:pt idx="1">
                  <c:v>70.318253055550812</c:v>
                </c:pt>
                <c:pt idx="2">
                  <c:v>126.03602031491293</c:v>
                </c:pt>
                <c:pt idx="3">
                  <c:v>165.90778795658872</c:v>
                </c:pt>
                <c:pt idx="4">
                  <c:v>187.65449104001854</c:v>
                </c:pt>
                <c:pt idx="5">
                  <c:v>183.59871834001993</c:v>
                </c:pt>
                <c:pt idx="6">
                  <c:v>156.38898946296732</c:v>
                </c:pt>
                <c:pt idx="7">
                  <c:v>111.89401932377828</c:v>
                </c:pt>
                <c:pt idx="8">
                  <c:v>51.964280118432654</c:v>
                </c:pt>
                <c:pt idx="9">
                  <c:v>-22.299137122364073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12-4271-835F-7E70693CC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463184"/>
        <c:axId val="1"/>
      </c:scatterChart>
      <c:valAx>
        <c:axId val="41446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4144631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74302075876879"/>
          <c:y val="3.5715655303566095E-2"/>
          <c:w val="0.50287461226437613"/>
          <c:h val="0.2381039495811526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NM2M3!$F$19</c:f>
          <c:strCache>
            <c:ptCount val="1"/>
            <c:pt idx="0">
              <c:v>b=30,H=40,2f20//H,2f20//b</c:v>
            </c:pt>
          </c:strCache>
        </c:strRef>
      </c:tx>
      <c:layout>
        <c:manualLayout>
          <c:xMode val="edge"/>
          <c:yMode val="edge"/>
          <c:x val="0.12116797900262467"/>
          <c:y val="0.8783384412277806"/>
        </c:manualLayout>
      </c:layout>
      <c:overlay val="0"/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832295155105521"/>
          <c:y val="5.7397875333622582E-2"/>
          <c:w val="0.75688106035363945"/>
          <c:h val="0.68592838958180946"/>
        </c:manualLayout>
      </c:layout>
      <c:scatterChart>
        <c:scatterStyle val="lineMarker"/>
        <c:varyColors val="0"/>
        <c:ser>
          <c:idx val="0"/>
          <c:order val="0"/>
          <c:tx>
            <c:v>MRd</c:v>
          </c:tx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NM2M3!$K$27:$K$37</c:f>
              <c:numCache>
                <c:formatCode>0</c:formatCode>
                <c:ptCount val="11"/>
                <c:pt idx="0">
                  <c:v>0</c:v>
                </c:pt>
                <c:pt idx="1">
                  <c:v>16.871685945254146</c:v>
                </c:pt>
                <c:pt idx="2">
                  <c:v>33.743371890508293</c:v>
                </c:pt>
                <c:pt idx="3">
                  <c:v>50.615057835762435</c:v>
                </c:pt>
                <c:pt idx="4">
                  <c:v>67.486743781016585</c:v>
                </c:pt>
                <c:pt idx="5">
                  <c:v>84.358429726270728</c:v>
                </c:pt>
                <c:pt idx="6">
                  <c:v>101.23011567152487</c:v>
                </c:pt>
                <c:pt idx="7">
                  <c:v>118.10180161677901</c:v>
                </c:pt>
                <c:pt idx="8">
                  <c:v>134.97348756203317</c:v>
                </c:pt>
                <c:pt idx="9">
                  <c:v>151.84517350728731</c:v>
                </c:pt>
                <c:pt idx="10">
                  <c:v>168.71685945254146</c:v>
                </c:pt>
              </c:numCache>
            </c:numRef>
          </c:xVal>
          <c:yVal>
            <c:numRef>
              <c:f>NM2M3!$L$27:$L$37</c:f>
              <c:numCache>
                <c:formatCode>0</c:formatCode>
                <c:ptCount val="11"/>
                <c:pt idx="0">
                  <c:v>124.07474304453149</c:v>
                </c:pt>
                <c:pt idx="1">
                  <c:v>121.44503429912264</c:v>
                </c:pt>
                <c:pt idx="2">
                  <c:v>116.56143856186931</c:v>
                </c:pt>
                <c:pt idx="3">
                  <c:v>110.08069853901486</c:v>
                </c:pt>
                <c:pt idx="4">
                  <c:v>102.14975900937256</c:v>
                </c:pt>
                <c:pt idx="5">
                  <c:v>92.762367817931988</c:v>
                </c:pt>
                <c:pt idx="6">
                  <c:v>81.793132335412338</c:v>
                </c:pt>
                <c:pt idx="7">
                  <c:v>68.958300306956644</c:v>
                </c:pt>
                <c:pt idx="8">
                  <c:v>53.665568892947597</c:v>
                </c:pt>
                <c:pt idx="9">
                  <c:v>34.431186497530241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9C-4460-B072-40CA600AD125}"/>
            </c:ext>
          </c:extLst>
        </c:ser>
        <c:ser>
          <c:idx val="1"/>
          <c:order val="1"/>
          <c:tx>
            <c:v>MEd</c:v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NM2M3!$K$24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NM2M3!$L$24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9C-4460-B072-40CA600AD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463184"/>
        <c:axId val="1"/>
      </c:scatterChart>
      <c:valAx>
        <c:axId val="41446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4144631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74302075876879"/>
          <c:y val="3.5715655303566095E-2"/>
          <c:w val="0.50287461226437613"/>
          <c:h val="0.2381039495811526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Rectangular</a:t>
            </a:r>
            <a:r>
              <a:rPr lang="en-US" baseline="0"/>
              <a:t> section with tension reinforcement only</a:t>
            </a:r>
            <a:endParaRPr lang="en-US"/>
          </a:p>
        </c:rich>
      </c:tx>
      <c:layout>
        <c:manualLayout>
          <c:xMode val="edge"/>
          <c:yMode val="edge"/>
          <c:x val="0.13332689012024362"/>
          <c:y val="2.9030581055733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2691334795982892"/>
          <c:y val="0.10053155875004732"/>
          <c:w val="0.82519495910334584"/>
          <c:h val="0.692133912348109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'Mphi (N=0)'!$F$8</c:f>
              <c:strCache>
                <c:ptCount val="1"/>
                <c:pt idx="0">
                  <c:v>M [kNm]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'Mphi (N=0)'!$G$7:$J$7</c:f>
              <c:numCache>
                <c:formatCode>0.0000</c:formatCode>
                <c:ptCount val="4"/>
                <c:pt idx="0">
                  <c:v>0</c:v>
                </c:pt>
                <c:pt idx="1">
                  <c:v>2.0000000000000001E-4</c:v>
                </c:pt>
                <c:pt idx="2">
                  <c:v>5.1356351503301402E-3</c:v>
                </c:pt>
                <c:pt idx="3">
                  <c:v>0.13358070500927643</c:v>
                </c:pt>
              </c:numCache>
            </c:numRef>
          </c:xVal>
          <c:yVal>
            <c:numRef>
              <c:f>'Mphi (N=0)'!$G$8:$J$8</c:f>
              <c:numCache>
                <c:formatCode>0</c:formatCode>
                <c:ptCount val="4"/>
                <c:pt idx="0">
                  <c:v>0</c:v>
                </c:pt>
                <c:pt idx="1">
                  <c:v>24.999999999999996</c:v>
                </c:pt>
                <c:pt idx="2">
                  <c:v>88.629050954180187</c:v>
                </c:pt>
                <c:pt idx="3">
                  <c:v>92.333333333333329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66-4E23-9080-CE9304D1F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994096"/>
        <c:axId val="328989104"/>
      </c:scatterChart>
      <c:valAx>
        <c:axId val="3289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Curvature</a:t>
                </a:r>
                <a:r>
                  <a:rPr lang="it-IT" baseline="0"/>
                  <a:t> </a:t>
                </a:r>
                <a:r>
                  <a:rPr lang="it-IT" baseline="0">
                    <a:latin typeface="Symbol" panose="05050102010706020507" pitchFamily="18" charset="2"/>
                  </a:rPr>
                  <a:t>f</a:t>
                </a:r>
                <a:r>
                  <a:rPr lang="it-IT" baseline="0"/>
                  <a:t> [1/m]</a:t>
                </a:r>
                <a:endParaRPr lang="it-I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8989104"/>
        <c:crosses val="autoZero"/>
        <c:crossBetween val="midCat"/>
      </c:valAx>
      <c:valAx>
        <c:axId val="32898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Moment M [kNm]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899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4012787169761"/>
          <c:y val="4.5619484516152629E-2"/>
          <c:w val="0.74354254065139935"/>
          <c:h val="0.73458113671868874"/>
        </c:manualLayout>
      </c:layout>
      <c:scatterChart>
        <c:scatterStyle val="lineMarker"/>
        <c:varyColors val="0"/>
        <c:ser>
          <c:idx val="2"/>
          <c:order val="0"/>
          <c:tx>
            <c:strRef>
              <c:f>'Mphi (N=0)'!$V$11</c:f>
              <c:strCache>
                <c:ptCount val="1"/>
                <c:pt idx="0">
                  <c:v>caso base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'Mphi (N=0)'!$R$11:$U$11</c:f>
              <c:numCache>
                <c:formatCode>0.0000</c:formatCode>
                <c:ptCount val="4"/>
                <c:pt idx="0" formatCode="General">
                  <c:v>0</c:v>
                </c:pt>
                <c:pt idx="1">
                  <c:v>2.6666666666666668E-4</c:v>
                </c:pt>
                <c:pt idx="2">
                  <c:v>5.1988860902675155E-3</c:v>
                </c:pt>
                <c:pt idx="3">
                  <c:v>0.10031847133757962</c:v>
                </c:pt>
              </c:numCache>
            </c:numRef>
          </c:xVal>
          <c:yVal>
            <c:numRef>
              <c:f>'Mphi (N=0)'!$R$12:$U$12</c:f>
              <c:numCache>
                <c:formatCode>0</c:formatCode>
                <c:ptCount val="4"/>
                <c:pt idx="0" formatCode="General">
                  <c:v>0</c:v>
                </c:pt>
                <c:pt idx="1">
                  <c:v>24.999999999999996</c:v>
                </c:pt>
                <c:pt idx="2">
                  <c:v>109.38745567008502</c:v>
                </c:pt>
                <c:pt idx="3">
                  <c:v>114.55836444444446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261-42FE-8E57-E10A620A2C41}"/>
            </c:ext>
          </c:extLst>
        </c:ser>
        <c:ser>
          <c:idx val="3"/>
          <c:order val="1"/>
          <c:tx>
            <c:strRef>
              <c:f>'Mphi (N=0)'!$V$13</c:f>
              <c:strCache>
                <c:ptCount val="1"/>
                <c:pt idx="0">
                  <c:v>+50% As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'Mphi (N=0)'!$R$13:$U$13</c:f>
              <c:numCache>
                <c:formatCode>0.0000</c:formatCode>
                <c:ptCount val="4"/>
                <c:pt idx="0" formatCode="General">
                  <c:v>0</c:v>
                </c:pt>
                <c:pt idx="1">
                  <c:v>2.6666666666666668E-4</c:v>
                </c:pt>
                <c:pt idx="2">
                  <c:v>5.4960518014559347E-3</c:v>
                </c:pt>
                <c:pt idx="3">
                  <c:v>6.6878980891719744E-2</c:v>
                </c:pt>
              </c:numCache>
            </c:numRef>
          </c:xVal>
          <c:yVal>
            <c:numRef>
              <c:f>'Mphi (N=0)'!$R$14:$U$14</c:f>
              <c:numCache>
                <c:formatCode>0</c:formatCode>
                <c:ptCount val="4"/>
                <c:pt idx="0" formatCode="General">
                  <c:v>0</c:v>
                </c:pt>
                <c:pt idx="1">
                  <c:v>24.999999999999996</c:v>
                </c:pt>
                <c:pt idx="2">
                  <c:v>161.59308303642985</c:v>
                </c:pt>
                <c:pt idx="3">
                  <c:v>169.20832000000001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261-42FE-8E57-E10A620A2C41}"/>
            </c:ext>
          </c:extLst>
        </c:ser>
        <c:ser>
          <c:idx val="0"/>
          <c:order val="2"/>
          <c:tx>
            <c:strRef>
              <c:f>'Mphi (N=0)'!$V$15</c:f>
              <c:strCache>
                <c:ptCount val="1"/>
                <c:pt idx="0">
                  <c:v>+20% H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'Mphi (N=0)'!$R$15:$U$15</c:f>
              <c:numCache>
                <c:formatCode>0.0000</c:formatCode>
                <c:ptCount val="4"/>
                <c:pt idx="0" formatCode="General">
                  <c:v>0</c:v>
                </c:pt>
                <c:pt idx="1">
                  <c:v>2.2222222222222223E-4</c:v>
                </c:pt>
                <c:pt idx="2">
                  <c:v>4.1901736169269403E-3</c:v>
                </c:pt>
                <c:pt idx="3">
                  <c:v>9.3438538205980068E-2</c:v>
                </c:pt>
              </c:numCache>
            </c:numRef>
          </c:xVal>
          <c:yVal>
            <c:numRef>
              <c:f>'Mphi (N=0)'!$R$16:$U$16</c:f>
              <c:numCache>
                <c:formatCode>0</c:formatCode>
                <c:ptCount val="4"/>
                <c:pt idx="0" formatCode="General">
                  <c:v>0</c:v>
                </c:pt>
                <c:pt idx="1">
                  <c:v>36</c:v>
                </c:pt>
                <c:pt idx="2">
                  <c:v>133.51935442707369</c:v>
                </c:pt>
                <c:pt idx="3">
                  <c:v>139.67836444444447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61-42FE-8E57-E10A620A2C41}"/>
            </c:ext>
          </c:extLst>
        </c:ser>
        <c:ser>
          <c:idx val="1"/>
          <c:order val="3"/>
          <c:tx>
            <c:strRef>
              <c:f>'Mphi (N=0)'!$V$17</c:f>
              <c:strCache>
                <c:ptCount val="1"/>
                <c:pt idx="0">
                  <c:v>+25% fy</c:v>
                </c:pt>
              </c:strCache>
            </c:strRef>
          </c:tx>
          <c:xVal>
            <c:numRef>
              <c:f>'Mphi (N=0)'!$R$17:$U$17</c:f>
              <c:numCache>
                <c:formatCode>0.0000</c:formatCode>
                <c:ptCount val="4"/>
                <c:pt idx="0" formatCode="General">
                  <c:v>0</c:v>
                </c:pt>
                <c:pt idx="1">
                  <c:v>2.6666666666666668E-4</c:v>
                </c:pt>
                <c:pt idx="2">
                  <c:v>6.4986076128343952E-3</c:v>
                </c:pt>
                <c:pt idx="3">
                  <c:v>8.0254777070063704E-2</c:v>
                </c:pt>
              </c:numCache>
            </c:numRef>
          </c:xVal>
          <c:yVal>
            <c:numRef>
              <c:f>'Mphi (N=0)'!$R$18:$U$18</c:f>
              <c:numCache>
                <c:formatCode>0</c:formatCode>
                <c:ptCount val="4"/>
                <c:pt idx="0" formatCode="General">
                  <c:v>0</c:v>
                </c:pt>
                <c:pt idx="1">
                  <c:v>24.999999999999996</c:v>
                </c:pt>
                <c:pt idx="2">
                  <c:v>137</c:v>
                </c:pt>
                <c:pt idx="3">
                  <c:v>142.10244444444444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261-42FE-8E57-E10A620A2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994096"/>
        <c:axId val="328989104"/>
      </c:scatterChart>
      <c:valAx>
        <c:axId val="3289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Curvature</a:t>
                </a:r>
                <a:r>
                  <a:rPr lang="it-IT" baseline="0"/>
                  <a:t> </a:t>
                </a:r>
                <a:r>
                  <a:rPr lang="it-IT" baseline="0">
                    <a:latin typeface="Symbol" panose="05050102010706020507" pitchFamily="18" charset="2"/>
                  </a:rPr>
                  <a:t>f</a:t>
                </a:r>
                <a:r>
                  <a:rPr lang="it-IT" baseline="0"/>
                  <a:t> [1/m]</a:t>
                </a:r>
                <a:endParaRPr lang="it-I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8989104"/>
        <c:crosses val="autoZero"/>
        <c:crossBetween val="midCat"/>
      </c:valAx>
      <c:valAx>
        <c:axId val="32898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Moment M [kNm]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8994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969920816120046"/>
          <c:y val="0.43053298709984167"/>
          <c:w val="0.21314472831662384"/>
          <c:h val="0.278134273105342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Rectangular</a:t>
            </a:r>
            <a:r>
              <a:rPr lang="en-US" baseline="0"/>
              <a:t> section with tension reinforcement only</a:t>
            </a:r>
            <a:endParaRPr lang="en-US"/>
          </a:p>
        </c:rich>
      </c:tx>
      <c:layout>
        <c:manualLayout>
          <c:xMode val="edge"/>
          <c:yMode val="edge"/>
          <c:x val="0.13332689012024362"/>
          <c:y val="2.9030581055733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2691334795982892"/>
          <c:y val="0.10053155875004732"/>
          <c:w val="0.82519495910334584"/>
          <c:h val="0.69213391234810917"/>
        </c:manualLayout>
      </c:layout>
      <c:scatterChart>
        <c:scatterStyle val="lineMarker"/>
        <c:varyColors val="0"/>
        <c:ser>
          <c:idx val="1"/>
          <c:order val="0"/>
          <c:tx>
            <c:strRef>
              <c:f>'Mphi (N=0)'!$Y$8</c:f>
              <c:strCache>
                <c:ptCount val="1"/>
                <c:pt idx="0">
                  <c:v>numerico: 10 fibre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'Mphi (N=0)'!$Y$9:$Y$108</c:f>
              <c:numCache>
                <c:formatCode>0.000</c:formatCode>
                <c:ptCount val="1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1.3000000000000001E-2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2.6000000000000002E-2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3.6000000000000004E-2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4.3000000000000003E-2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5.1000000000000004E-2</c:v>
                </c:pt>
                <c:pt idx="52">
                  <c:v>5.2000000000000005E-2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5.9000000000000004E-2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7.1000000000000008E-2</c:v>
                </c:pt>
                <c:pt idx="72">
                  <c:v>7.2000000000000008E-2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8.6000000000000007E-2</c:v>
                </c:pt>
                <c:pt idx="87">
                  <c:v>8.7000000000000008E-2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</c:numCache>
            </c:numRef>
          </c:xVal>
          <c:yVal>
            <c:numRef>
              <c:f>'Mphi (N=0)'!$Z$9:$Z$108</c:f>
              <c:numCache>
                <c:formatCode>0.0</c:formatCode>
                <c:ptCount val="100"/>
                <c:pt idx="0">
                  <c:v>2.3592456113719082E-15</c:v>
                </c:pt>
                <c:pt idx="1">
                  <c:v>20.794225201332345</c:v>
                </c:pt>
                <c:pt idx="2">
                  <c:v>41.465742184157669</c:v>
                </c:pt>
                <c:pt idx="3">
                  <c:v>62.006057134870844</c:v>
                </c:pt>
                <c:pt idx="4">
                  <c:v>82.404837037355776</c:v>
                </c:pt>
                <c:pt idx="5">
                  <c:v>102.65098351145907</c:v>
                </c:pt>
                <c:pt idx="6">
                  <c:v>108.35834813539154</c:v>
                </c:pt>
                <c:pt idx="7">
                  <c:v>108.82939051677442</c:v>
                </c:pt>
                <c:pt idx="8">
                  <c:v>109.29816259085536</c:v>
                </c:pt>
                <c:pt idx="9">
                  <c:v>109.76443362196287</c:v>
                </c:pt>
                <c:pt idx="10">
                  <c:v>110.22787613192821</c:v>
                </c:pt>
                <c:pt idx="11">
                  <c:v>110.68816007228899</c:v>
                </c:pt>
                <c:pt idx="12">
                  <c:v>111.14495233091377</c:v>
                </c:pt>
                <c:pt idx="13">
                  <c:v>111.59793417353185</c:v>
                </c:pt>
                <c:pt idx="14">
                  <c:v>111.78400071757309</c:v>
                </c:pt>
                <c:pt idx="15">
                  <c:v>111.78415206003092</c:v>
                </c:pt>
                <c:pt idx="16">
                  <c:v>111.78400025164146</c:v>
                </c:pt>
                <c:pt idx="17">
                  <c:v>111.78400011246008</c:v>
                </c:pt>
                <c:pt idx="18">
                  <c:v>111.78399957918631</c:v>
                </c:pt>
                <c:pt idx="19">
                  <c:v>111.78399960490154</c:v>
                </c:pt>
                <c:pt idx="20">
                  <c:v>111.78399962930041</c:v>
                </c:pt>
                <c:pt idx="21">
                  <c:v>111.78399965243761</c:v>
                </c:pt>
                <c:pt idx="22">
                  <c:v>111.78399967436596</c:v>
                </c:pt>
                <c:pt idx="23">
                  <c:v>111.78399969513642</c:v>
                </c:pt>
                <c:pt idx="24">
                  <c:v>111.7839997147984</c:v>
                </c:pt>
                <c:pt idx="25">
                  <c:v>111.78399973339972</c:v>
                </c:pt>
                <c:pt idx="26">
                  <c:v>111.78399975098645</c:v>
                </c:pt>
                <c:pt idx="27">
                  <c:v>111.78399976760325</c:v>
                </c:pt>
                <c:pt idx="28">
                  <c:v>111.78399978329334</c:v>
                </c:pt>
                <c:pt idx="29">
                  <c:v>111.78399979809822</c:v>
                </c:pt>
                <c:pt idx="30">
                  <c:v>111.78399981205811</c:v>
                </c:pt>
                <c:pt idx="31">
                  <c:v>111.78399982521184</c:v>
                </c:pt>
                <c:pt idx="32">
                  <c:v>111.78399983759682</c:v>
                </c:pt>
                <c:pt idx="33">
                  <c:v>111.78399984924926</c:v>
                </c:pt>
                <c:pt idx="34">
                  <c:v>111.78399986020381</c:v>
                </c:pt>
                <c:pt idx="35">
                  <c:v>111.78399987049414</c:v>
                </c:pt>
                <c:pt idx="36">
                  <c:v>111.78399988015256</c:v>
                </c:pt>
                <c:pt idx="37">
                  <c:v>111.78399988921009</c:v>
                </c:pt>
                <c:pt idx="38">
                  <c:v>111.78399989769679</c:v>
                </c:pt>
                <c:pt idx="39">
                  <c:v>111.78399990564154</c:v>
                </c:pt>
                <c:pt idx="40">
                  <c:v>111.78399991307182</c:v>
                </c:pt>
                <c:pt idx="41">
                  <c:v>111.78399992001459</c:v>
                </c:pt>
                <c:pt idx="42">
                  <c:v>111.78399992649528</c:v>
                </c:pt>
                <c:pt idx="43">
                  <c:v>111.78399993253845</c:v>
                </c:pt>
                <c:pt idx="44">
                  <c:v>111.78399993816774</c:v>
                </c:pt>
                <c:pt idx="45">
                  <c:v>111.78422177397938</c:v>
                </c:pt>
                <c:pt idx="46">
                  <c:v>111.78421014550295</c:v>
                </c:pt>
                <c:pt idx="47">
                  <c:v>111.784198926274</c:v>
                </c:pt>
                <c:pt idx="48">
                  <c:v>111.78418813254493</c:v>
                </c:pt>
                <c:pt idx="49">
                  <c:v>111.78417775465451</c:v>
                </c:pt>
                <c:pt idx="50">
                  <c:v>111.78416778303011</c:v>
                </c:pt>
                <c:pt idx="51">
                  <c:v>111.7841582081896</c:v>
                </c:pt>
                <c:pt idx="52">
                  <c:v>111.78414902074041</c:v>
                </c:pt>
                <c:pt idx="53">
                  <c:v>111.78414021137954</c:v>
                </c:pt>
                <c:pt idx="54">
                  <c:v>111.78413177089169</c:v>
                </c:pt>
                <c:pt idx="55">
                  <c:v>111.7841236901493</c:v>
                </c:pt>
                <c:pt idx="56">
                  <c:v>111.78411596011146</c:v>
                </c:pt>
                <c:pt idx="57">
                  <c:v>111.78410857182317</c:v>
                </c:pt>
                <c:pt idx="58">
                  <c:v>111.78410151641478</c:v>
                </c:pt>
                <c:pt idx="59">
                  <c:v>111.78409478510085</c:v>
                </c:pt>
                <c:pt idx="60">
                  <c:v>111.78408836918007</c:v>
                </c:pt>
                <c:pt idx="61">
                  <c:v>111.78408226003405</c:v>
                </c:pt>
                <c:pt idx="62">
                  <c:v>111.78407644912662</c:v>
                </c:pt>
                <c:pt idx="63">
                  <c:v>111.78407092800319</c:v>
                </c:pt>
                <c:pt idx="64">
                  <c:v>111.7840656882903</c:v>
                </c:pt>
                <c:pt idx="65">
                  <c:v>111.78406072169444</c:v>
                </c:pt>
                <c:pt idx="66">
                  <c:v>111.78405602000188</c:v>
                </c:pt>
                <c:pt idx="67">
                  <c:v>111.78405157507777</c:v>
                </c:pt>
                <c:pt idx="68">
                  <c:v>111.78404737886493</c:v>
                </c:pt>
                <c:pt idx="69">
                  <c:v>111.78404342338439</c:v>
                </c:pt>
                <c:pt idx="70">
                  <c:v>111.78403970073336</c:v>
                </c:pt>
                <c:pt idx="71">
                  <c:v>111.78403620308578</c:v>
                </c:pt>
                <c:pt idx="72">
                  <c:v>111.78403292269067</c:v>
                </c:pt>
                <c:pt idx="73">
                  <c:v>111.78402985187228</c:v>
                </c:pt>
                <c:pt idx="74">
                  <c:v>111.78402698302875</c:v>
                </c:pt>
                <c:pt idx="75">
                  <c:v>111.78402430863201</c:v>
                </c:pt>
                <c:pt idx="76">
                  <c:v>111.78402182122713</c:v>
                </c:pt>
                <c:pt idx="77">
                  <c:v>111.78401951343118</c:v>
                </c:pt>
                <c:pt idx="78">
                  <c:v>111.78401737793303</c:v>
                </c:pt>
                <c:pt idx="79">
                  <c:v>111.78401540749286</c:v>
                </c:pt>
                <c:pt idx="80">
                  <c:v>111.78401359494154</c:v>
                </c:pt>
                <c:pt idx="81">
                  <c:v>111.78401193317906</c:v>
                </c:pt>
                <c:pt idx="82">
                  <c:v>111.78401041517547</c:v>
                </c:pt>
                <c:pt idx="83">
                  <c:v>111.7840090339692</c:v>
                </c:pt>
                <c:pt idx="84">
                  <c:v>111.78400778266688</c:v>
                </c:pt>
                <c:pt idx="85">
                  <c:v>111.78400665444286</c:v>
                </c:pt>
                <c:pt idx="86">
                  <c:v>111.78400564253826</c:v>
                </c:pt>
                <c:pt idx="87">
                  <c:v>111.78400474026043</c:v>
                </c:pt>
                <c:pt idx="88">
                  <c:v>111.78400394098318</c:v>
                </c:pt>
                <c:pt idx="89">
                  <c:v>111.78400323814486</c:v>
                </c:pt>
                <c:pt idx="90">
                  <c:v>111.784002625249</c:v>
                </c:pt>
                <c:pt idx="91">
                  <c:v>111.78400209586316</c:v>
                </c:pt>
                <c:pt idx="92">
                  <c:v>111.78400164361855</c:v>
                </c:pt>
                <c:pt idx="93">
                  <c:v>111.78400126220978</c:v>
                </c:pt>
                <c:pt idx="94">
                  <c:v>111.78400094539342</c:v>
                </c:pt>
                <c:pt idx="95">
                  <c:v>111.78400068698843</c:v>
                </c:pt>
                <c:pt idx="96">
                  <c:v>111.78400048087505</c:v>
                </c:pt>
                <c:pt idx="97">
                  <c:v>111.78400032099472</c:v>
                </c:pt>
                <c:pt idx="98">
                  <c:v>111.78400020134933</c:v>
                </c:pt>
                <c:pt idx="99">
                  <c:v>111.78400011600064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E6-4117-856C-6EC47264A469}"/>
            </c:ext>
          </c:extLst>
        </c:ser>
        <c:ser>
          <c:idx val="2"/>
          <c:order val="1"/>
          <c:tx>
            <c:strRef>
              <c:f>'Mphi (N=0)'!$AC$8</c:f>
              <c:strCache>
                <c:ptCount val="1"/>
                <c:pt idx="0">
                  <c:v>numerico: 18 fibre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'Mphi (N=0)'!$AC$9:$AC$129</c:f>
              <c:numCache>
                <c:formatCode>0.000</c:formatCode>
                <c:ptCount val="12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1.3000000000000001E-2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2.6000000000000002E-2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3.6000000000000004E-2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4.3000000000000003E-2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5.1000000000000004E-2</c:v>
                </c:pt>
                <c:pt idx="52">
                  <c:v>5.2000000000000005E-2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5.9000000000000004E-2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7.1000000000000008E-2</c:v>
                </c:pt>
                <c:pt idx="72">
                  <c:v>7.2000000000000008E-2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8.6000000000000007E-2</c:v>
                </c:pt>
                <c:pt idx="87">
                  <c:v>8.7000000000000008E-2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0.10200000000000001</c:v>
                </c:pt>
                <c:pt idx="103">
                  <c:v>0.10300000000000001</c:v>
                </c:pt>
                <c:pt idx="104">
                  <c:v>0.10400000000000001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</c:numCache>
            </c:numRef>
          </c:xVal>
          <c:yVal>
            <c:numRef>
              <c:f>'Mphi (N=0)'!$AD$9:$AD$129</c:f>
              <c:numCache>
                <c:formatCode>0.0</c:formatCode>
                <c:ptCount val="121"/>
                <c:pt idx="0">
                  <c:v>-7.8641520379063969E-16</c:v>
                </c:pt>
                <c:pt idx="1">
                  <c:v>20.966830293218521</c:v>
                </c:pt>
                <c:pt idx="2">
                  <c:v>41.795546684310821</c:v>
                </c:pt>
                <c:pt idx="3">
                  <c:v>62.476637974451933</c:v>
                </c:pt>
                <c:pt idx="4">
                  <c:v>82.998585794713733</c:v>
                </c:pt>
                <c:pt idx="5">
                  <c:v>103.34893753970053</c:v>
                </c:pt>
                <c:pt idx="6">
                  <c:v>109.26699567102564</c:v>
                </c:pt>
                <c:pt idx="7">
                  <c:v>109.88086546038674</c:v>
                </c:pt>
                <c:pt idx="8">
                  <c:v>110.32029117898904</c:v>
                </c:pt>
                <c:pt idx="9">
                  <c:v>110.73858116861926</c:v>
                </c:pt>
                <c:pt idx="10">
                  <c:v>111.03525152998148</c:v>
                </c:pt>
                <c:pt idx="11">
                  <c:v>111.32998050054994</c:v>
                </c:pt>
                <c:pt idx="12">
                  <c:v>111.58860888299509</c:v>
                </c:pt>
                <c:pt idx="13">
                  <c:v>111.77630933358617</c:v>
                </c:pt>
                <c:pt idx="14">
                  <c:v>111.96270745287285</c:v>
                </c:pt>
                <c:pt idx="15">
                  <c:v>112.14769411806134</c:v>
                </c:pt>
                <c:pt idx="16">
                  <c:v>112.33119575843972</c:v>
                </c:pt>
                <c:pt idx="17">
                  <c:v>112.44711964464625</c:v>
                </c:pt>
                <c:pt idx="18">
                  <c:v>112.55494622687053</c:v>
                </c:pt>
                <c:pt idx="19">
                  <c:v>112.66186938894907</c:v>
                </c:pt>
                <c:pt idx="20">
                  <c:v>112.76785752216442</c:v>
                </c:pt>
                <c:pt idx="21">
                  <c:v>112.87296522770791</c:v>
                </c:pt>
                <c:pt idx="22">
                  <c:v>112.97695665137701</c:v>
                </c:pt>
                <c:pt idx="23">
                  <c:v>113.07984969337781</c:v>
                </c:pt>
                <c:pt idx="24">
                  <c:v>113.17208758437576</c:v>
                </c:pt>
                <c:pt idx="25">
                  <c:v>113.22544420067001</c:v>
                </c:pt>
                <c:pt idx="26">
                  <c:v>113.27863106126628</c:v>
                </c:pt>
                <c:pt idx="27">
                  <c:v>113.33092855078782</c:v>
                </c:pt>
                <c:pt idx="28">
                  <c:v>113.38291532795543</c:v>
                </c:pt>
                <c:pt idx="29">
                  <c:v>113.43411955634785</c:v>
                </c:pt>
                <c:pt idx="30">
                  <c:v>113.48473920885151</c:v>
                </c:pt>
                <c:pt idx="31">
                  <c:v>113.53466186143456</c:v>
                </c:pt>
                <c:pt idx="32">
                  <c:v>113.58395895729076</c:v>
                </c:pt>
                <c:pt idx="33">
                  <c:v>113.63239901664259</c:v>
                </c:pt>
                <c:pt idx="34">
                  <c:v>113.68015760702197</c:v>
                </c:pt>
                <c:pt idx="35">
                  <c:v>113.72713824693278</c:v>
                </c:pt>
                <c:pt idx="36">
                  <c:v>113.77331176861964</c:v>
                </c:pt>
                <c:pt idx="37">
                  <c:v>113.81864832559131</c:v>
                </c:pt>
                <c:pt idx="38">
                  <c:v>113.86311734994055</c:v>
                </c:pt>
                <c:pt idx="39">
                  <c:v>113.90668828554539</c:v>
                </c:pt>
                <c:pt idx="40">
                  <c:v>113.94398954952675</c:v>
                </c:pt>
                <c:pt idx="41">
                  <c:v>113.96174848725747</c:v>
                </c:pt>
                <c:pt idx="42">
                  <c:v>113.9794799171014</c:v>
                </c:pt>
                <c:pt idx="43">
                  <c:v>113.99668316343281</c:v>
                </c:pt>
                <c:pt idx="44">
                  <c:v>114.01347321149079</c:v>
                </c:pt>
                <c:pt idx="45">
                  <c:v>114.02985321286002</c:v>
                </c:pt>
                <c:pt idx="46">
                  <c:v>114.04580978625644</c:v>
                </c:pt>
                <c:pt idx="47">
                  <c:v>114.06133239844598</c:v>
                </c:pt>
                <c:pt idx="48">
                  <c:v>114.0764006706934</c:v>
                </c:pt>
                <c:pt idx="49">
                  <c:v>114.09100355706381</c:v>
                </c:pt>
                <c:pt idx="50">
                  <c:v>114.10513426163109</c:v>
                </c:pt>
                <c:pt idx="51">
                  <c:v>114.11888948984966</c:v>
                </c:pt>
                <c:pt idx="52">
                  <c:v>114.13186051459246</c:v>
                </c:pt>
                <c:pt idx="53">
                  <c:v>114.14444019837647</c:v>
                </c:pt>
                <c:pt idx="54">
                  <c:v>114.15647109631894</c:v>
                </c:pt>
                <c:pt idx="55">
                  <c:v>114.16814914148569</c:v>
                </c:pt>
                <c:pt idx="56">
                  <c:v>114.17899247003284</c:v>
                </c:pt>
                <c:pt idx="57">
                  <c:v>114.18923397856376</c:v>
                </c:pt>
                <c:pt idx="58">
                  <c:v>114.19885191670545</c:v>
                </c:pt>
                <c:pt idx="59">
                  <c:v>114.20781972239641</c:v>
                </c:pt>
                <c:pt idx="60">
                  <c:v>114.21655335561056</c:v>
                </c:pt>
                <c:pt idx="61">
                  <c:v>114.22519678643928</c:v>
                </c:pt>
                <c:pt idx="62">
                  <c:v>114.233740686836</c:v>
                </c:pt>
                <c:pt idx="63">
                  <c:v>114.2421828822354</c:v>
                </c:pt>
                <c:pt idx="64">
                  <c:v>114.25052116546244</c:v>
                </c:pt>
                <c:pt idx="65">
                  <c:v>114.25875329482011</c:v>
                </c:pt>
                <c:pt idx="66">
                  <c:v>114.26687699275031</c:v>
                </c:pt>
                <c:pt idx="67">
                  <c:v>114.27488994443439</c:v>
                </c:pt>
                <c:pt idx="68">
                  <c:v>114.28278979632904</c:v>
                </c:pt>
                <c:pt idx="69">
                  <c:v>114.29057415463413</c:v>
                </c:pt>
                <c:pt idx="70">
                  <c:v>114.29824058368752</c:v>
                </c:pt>
                <c:pt idx="71">
                  <c:v>114.3057866042833</c:v>
                </c:pt>
                <c:pt idx="72">
                  <c:v>114.31320969190757</c:v>
                </c:pt>
                <c:pt idx="73">
                  <c:v>114.32050727488686</c:v>
                </c:pt>
                <c:pt idx="74">
                  <c:v>114.3276767324441</c:v>
                </c:pt>
                <c:pt idx="75">
                  <c:v>114.33471539265466</c:v>
                </c:pt>
                <c:pt idx="76">
                  <c:v>114.34162053029698</c:v>
                </c:pt>
                <c:pt idx="77">
                  <c:v>114.34838936459082</c:v>
                </c:pt>
                <c:pt idx="78">
                  <c:v>114.35501905681383</c:v>
                </c:pt>
                <c:pt idx="79">
                  <c:v>114.36150670779021</c:v>
                </c:pt>
                <c:pt idx="80">
                  <c:v>114.36784935524119</c:v>
                </c:pt>
                <c:pt idx="81">
                  <c:v>114.37404397098692</c:v>
                </c:pt>
                <c:pt idx="82">
                  <c:v>114.38008745799115</c:v>
                </c:pt>
                <c:pt idx="83">
                  <c:v>114.38597664723513</c:v>
                </c:pt>
                <c:pt idx="84">
                  <c:v>114.39170829440914</c:v>
                </c:pt>
                <c:pt idx="85">
                  <c:v>114.39727907122963</c:v>
                </c:pt>
                <c:pt idx="86">
                  <c:v>114.40268554008743</c:v>
                </c:pt>
                <c:pt idx="87">
                  <c:v>114.40792422223039</c:v>
                </c:pt>
                <c:pt idx="88">
                  <c:v>114.41299155340295</c:v>
                </c:pt>
                <c:pt idx="89">
                  <c:v>114.41788386926478</c:v>
                </c:pt>
                <c:pt idx="90">
                  <c:v>114.42259740099252</c:v>
                </c:pt>
                <c:pt idx="91">
                  <c:v>114.42712827071108</c:v>
                </c:pt>
                <c:pt idx="92">
                  <c:v>114.43147248669877</c:v>
                </c:pt>
                <c:pt idx="93">
                  <c:v>114.43562593831214</c:v>
                </c:pt>
                <c:pt idx="94">
                  <c:v>114.43958439057141</c:v>
                </c:pt>
                <c:pt idx="95">
                  <c:v>114.44334347834398</c:v>
                </c:pt>
                <c:pt idx="96">
                  <c:v>114.44689870006289</c:v>
                </c:pt>
                <c:pt idx="97">
                  <c:v>114.45044628341792</c:v>
                </c:pt>
                <c:pt idx="98">
                  <c:v>114.45349704344048</c:v>
                </c:pt>
                <c:pt idx="99">
                  <c:v>114.45638965317838</c:v>
                </c:pt>
                <c:pt idx="100">
                  <c:v>114.45930226142738</c:v>
                </c:pt>
                <c:pt idx="101">
                  <c:v>114.46221074250599</c:v>
                </c:pt>
                <c:pt idx="102">
                  <c:v>114.46511485131222</c:v>
                </c:pt>
                <c:pt idx="103">
                  <c:v>114.46801443007682</c:v>
                </c:pt>
                <c:pt idx="104">
                  <c:v>114.47090932086131</c:v>
                </c:pt>
                <c:pt idx="105">
                  <c:v>114.47379936551397</c:v>
                </c:pt>
                <c:pt idx="106">
                  <c:v>114.47668440565455</c:v>
                </c:pt>
                <c:pt idx="107">
                  <c:v>114.47954101228761</c:v>
                </c:pt>
                <c:pt idx="108">
                  <c:v>114.48239268542747</c:v>
                </c:pt>
                <c:pt idx="109">
                  <c:v>114.48399839963683</c:v>
                </c:pt>
                <c:pt idx="110">
                  <c:v>114.48399908848913</c:v>
                </c:pt>
                <c:pt idx="111">
                  <c:v>114.48399834508186</c:v>
                </c:pt>
                <c:pt idx="112">
                  <c:v>114.48399732999262</c:v>
                </c:pt>
                <c:pt idx="113">
                  <c:v>114.48399604017614</c:v>
                </c:pt>
                <c:pt idx="114">
                  <c:v>114.48399449134006</c:v>
                </c:pt>
                <c:pt idx="115">
                  <c:v>114.48399271915061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C-4229-A8C0-C42F64A60982}"/>
            </c:ext>
          </c:extLst>
        </c:ser>
        <c:ser>
          <c:idx val="3"/>
          <c:order val="2"/>
          <c:tx>
            <c:strRef>
              <c:f>'Mphi (N=0)'!$AA$8</c:f>
              <c:strCache>
                <c:ptCount val="1"/>
                <c:pt idx="0">
                  <c:v>numerico: 5 fibre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'Mphi (N=0)'!$AA$9:$AA$1048576</c:f>
              <c:numCache>
                <c:formatCode>0.000</c:formatCode>
                <c:ptCount val="1048568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1.3000000000000001E-2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2.6000000000000002E-2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3.6000000000000004E-2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4.3000000000000003E-2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5.1000000000000004E-2</c:v>
                </c:pt>
                <c:pt idx="52">
                  <c:v>5.2000000000000005E-2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5.9000000000000004E-2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7.1000000000000008E-2</c:v>
                </c:pt>
                <c:pt idx="72">
                  <c:v>7.2000000000000008E-2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8.6000000000000007E-2</c:v>
                </c:pt>
                <c:pt idx="87">
                  <c:v>8.7000000000000008E-2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0.10200000000000001</c:v>
                </c:pt>
                <c:pt idx="103">
                  <c:v>0.10300000000000001</c:v>
                </c:pt>
                <c:pt idx="104">
                  <c:v>0.10400000000000001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0.11800000000000001</c:v>
                </c:pt>
                <c:pt idx="119">
                  <c:v>0.11900000000000001</c:v>
                </c:pt>
                <c:pt idx="120">
                  <c:v>0.12</c:v>
                </c:pt>
              </c:numCache>
            </c:numRef>
          </c:xVal>
          <c:yVal>
            <c:numRef>
              <c:f>'Mphi (N=0)'!$AB$9:$AB$1048576</c:f>
              <c:numCache>
                <c:formatCode>0.0</c:formatCode>
                <c:ptCount val="1048568"/>
                <c:pt idx="0">
                  <c:v>7.8641520379063585E-16</c:v>
                </c:pt>
                <c:pt idx="1">
                  <c:v>20.254771482787501</c:v>
                </c:pt>
                <c:pt idx="2">
                  <c:v>40.434702667363666</c:v>
                </c:pt>
                <c:pt idx="3">
                  <c:v>60.533893880112132</c:v>
                </c:pt>
                <c:pt idx="4">
                  <c:v>80.54570798543628</c:v>
                </c:pt>
                <c:pt idx="5">
                  <c:v>100.46236149480004</c:v>
                </c:pt>
                <c:pt idx="6">
                  <c:v>105.50405238200142</c:v>
                </c:pt>
                <c:pt idx="7">
                  <c:v>105.50405342446504</c:v>
                </c:pt>
                <c:pt idx="8">
                  <c:v>105.50402455004985</c:v>
                </c:pt>
                <c:pt idx="9">
                  <c:v>105.50400886588957</c:v>
                </c:pt>
                <c:pt idx="10">
                  <c:v>105.50400198082617</c:v>
                </c:pt>
                <c:pt idx="11">
                  <c:v>105.50400010022788</c:v>
                </c:pt>
                <c:pt idx="12">
                  <c:v>105.50419480454485</c:v>
                </c:pt>
                <c:pt idx="13">
                  <c:v>105.50399993215399</c:v>
                </c:pt>
                <c:pt idx="14">
                  <c:v>105.50399993606283</c:v>
                </c:pt>
                <c:pt idx="15">
                  <c:v>105.50399993978134</c:v>
                </c:pt>
                <c:pt idx="16">
                  <c:v>105.50399994332042</c:v>
                </c:pt>
                <c:pt idx="17">
                  <c:v>105.50399994668712</c:v>
                </c:pt>
                <c:pt idx="18">
                  <c:v>105.50399994988798</c:v>
                </c:pt>
                <c:pt idx="19">
                  <c:v>105.50399995292953</c:v>
                </c:pt>
                <c:pt idx="20">
                  <c:v>105.5039999558181</c:v>
                </c:pt>
                <c:pt idx="21">
                  <c:v>105.50399995855983</c:v>
                </c:pt>
                <c:pt idx="22">
                  <c:v>105.50399996116047</c:v>
                </c:pt>
                <c:pt idx="23">
                  <c:v>105.50399996362606</c:v>
                </c:pt>
                <c:pt idx="24">
                  <c:v>105.50399996596187</c:v>
                </c:pt>
                <c:pt idx="25">
                  <c:v>105.50399996817349</c:v>
                </c:pt>
                <c:pt idx="26">
                  <c:v>105.50399997026618</c:v>
                </c:pt>
                <c:pt idx="27">
                  <c:v>105.50399997224486</c:v>
                </c:pt>
                <c:pt idx="28">
                  <c:v>105.50419642328987</c:v>
                </c:pt>
                <c:pt idx="29">
                  <c:v>105.5041882799982</c:v>
                </c:pt>
                <c:pt idx="30">
                  <c:v>105.50418036663322</c:v>
                </c:pt>
                <c:pt idx="31">
                  <c:v>105.50417268749308</c:v>
                </c:pt>
                <c:pt idx="32">
                  <c:v>105.50416523850745</c:v>
                </c:pt>
                <c:pt idx="33">
                  <c:v>105.50415801563267</c:v>
                </c:pt>
                <c:pt idx="34">
                  <c:v>105.50415101485154</c:v>
                </c:pt>
                <c:pt idx="35">
                  <c:v>105.50414423217362</c:v>
                </c:pt>
                <c:pt idx="36">
                  <c:v>105.50413766363496</c:v>
                </c:pt>
                <c:pt idx="37">
                  <c:v>105.5041313052977</c:v>
                </c:pt>
                <c:pt idx="38">
                  <c:v>105.50412515325036</c:v>
                </c:pt>
                <c:pt idx="39">
                  <c:v>105.50411920360709</c:v>
                </c:pt>
                <c:pt idx="40">
                  <c:v>105.50411345250811</c:v>
                </c:pt>
                <c:pt idx="41">
                  <c:v>105.50410789611901</c:v>
                </c:pt>
                <c:pt idx="42">
                  <c:v>105.5041025306312</c:v>
                </c:pt>
                <c:pt idx="43">
                  <c:v>105.50409735226145</c:v>
                </c:pt>
                <c:pt idx="44">
                  <c:v>105.5040923572509</c:v>
                </c:pt>
                <c:pt idx="45">
                  <c:v>105.50408754186708</c:v>
                </c:pt>
                <c:pt idx="46">
                  <c:v>105.50408290240119</c:v>
                </c:pt>
                <c:pt idx="47">
                  <c:v>105.50407843517007</c:v>
                </c:pt>
                <c:pt idx="48">
                  <c:v>105.50407413651452</c:v>
                </c:pt>
                <c:pt idx="49">
                  <c:v>105.50407000280011</c:v>
                </c:pt>
                <c:pt idx="50">
                  <c:v>105.50406603041671</c:v>
                </c:pt>
                <c:pt idx="51">
                  <c:v>105.50406221577839</c:v>
                </c:pt>
                <c:pt idx="52">
                  <c:v>105.50405855532304</c:v>
                </c:pt>
                <c:pt idx="53">
                  <c:v>105.5040550455127</c:v>
                </c:pt>
                <c:pt idx="54">
                  <c:v>105.50405168283272</c:v>
                </c:pt>
                <c:pt idx="55">
                  <c:v>105.50404846379233</c:v>
                </c:pt>
                <c:pt idx="56">
                  <c:v>105.50404538492432</c:v>
                </c:pt>
                <c:pt idx="57">
                  <c:v>105.50404244278482</c:v>
                </c:pt>
                <c:pt idx="58">
                  <c:v>105.50403963395252</c:v>
                </c:pt>
                <c:pt idx="59">
                  <c:v>105.50403695503024</c:v>
                </c:pt>
                <c:pt idx="60">
                  <c:v>105.5040344026425</c:v>
                </c:pt>
                <c:pt idx="61">
                  <c:v>105.50403197343769</c:v>
                </c:pt>
                <c:pt idx="62">
                  <c:v>105.50402966408572</c:v>
                </c:pt>
                <c:pt idx="63">
                  <c:v>105.50402747128001</c:v>
                </c:pt>
                <c:pt idx="64">
                  <c:v>105.50402539173582</c:v>
                </c:pt>
                <c:pt idx="65">
                  <c:v>105.50402342219085</c:v>
                </c:pt>
                <c:pt idx="66">
                  <c:v>105.50402155940462</c:v>
                </c:pt>
                <c:pt idx="67">
                  <c:v>105.50401980015886</c:v>
                </c:pt>
                <c:pt idx="68">
                  <c:v>105.50401814125703</c:v>
                </c:pt>
                <c:pt idx="69">
                  <c:v>105.50401657952443</c:v>
                </c:pt>
                <c:pt idx="70">
                  <c:v>105.50401511180772</c:v>
                </c:pt>
                <c:pt idx="71">
                  <c:v>105.50401373497563</c:v>
                </c:pt>
                <c:pt idx="72">
                  <c:v>105.504012445917</c:v>
                </c:pt>
                <c:pt idx="73">
                  <c:v>105.50401124154322</c:v>
                </c:pt>
                <c:pt idx="74">
                  <c:v>105.50401011878584</c:v>
                </c:pt>
                <c:pt idx="75">
                  <c:v>105.50400907459792</c:v>
                </c:pt>
                <c:pt idx="76">
                  <c:v>105.50400810595306</c:v>
                </c:pt>
                <c:pt idx="77">
                  <c:v>105.50400720984518</c:v>
                </c:pt>
                <c:pt idx="78">
                  <c:v>105.50400638328985</c:v>
                </c:pt>
                <c:pt idx="79">
                  <c:v>105.50400562332226</c:v>
                </c:pt>
                <c:pt idx="80">
                  <c:v>105.50400492699801</c:v>
                </c:pt>
                <c:pt idx="81">
                  <c:v>105.50400429139317</c:v>
                </c:pt>
                <c:pt idx="82">
                  <c:v>105.50400371360335</c:v>
                </c:pt>
                <c:pt idx="83">
                  <c:v>105.50400319074569</c:v>
                </c:pt>
                <c:pt idx="84">
                  <c:v>105.50400271995483</c:v>
                </c:pt>
                <c:pt idx="85">
                  <c:v>105.5040022983876</c:v>
                </c:pt>
                <c:pt idx="86">
                  <c:v>105.50400192321845</c:v>
                </c:pt>
                <c:pt idx="87">
                  <c:v>105.50400159164244</c:v>
                </c:pt>
                <c:pt idx="88">
                  <c:v>105.50400130087368</c:v>
                </c:pt>
                <c:pt idx="89">
                  <c:v>105.50400104814597</c:v>
                </c:pt>
                <c:pt idx="90">
                  <c:v>105.50400083071217</c:v>
                </c:pt>
                <c:pt idx="91">
                  <c:v>105.50400064584318</c:v>
                </c:pt>
                <c:pt idx="92">
                  <c:v>105.50400049083004</c:v>
                </c:pt>
                <c:pt idx="93">
                  <c:v>105.50400036298286</c:v>
                </c:pt>
                <c:pt idx="94">
                  <c:v>105.50400025962927</c:v>
                </c:pt>
                <c:pt idx="95">
                  <c:v>105.50400017811599</c:v>
                </c:pt>
                <c:pt idx="96">
                  <c:v>105.50400011580882</c:v>
                </c:pt>
                <c:pt idx="97">
                  <c:v>105.50400007009159</c:v>
                </c:pt>
                <c:pt idx="98">
                  <c:v>105.50400003836563</c:v>
                </c:pt>
                <c:pt idx="99">
                  <c:v>105.50413929980678</c:v>
                </c:pt>
                <c:pt idx="100">
                  <c:v>105.50407116754715</c:v>
                </c:pt>
                <c:pt idx="101">
                  <c:v>105.50402571772928</c:v>
                </c:pt>
                <c:pt idx="102">
                  <c:v>105.50400292638838</c:v>
                </c:pt>
                <c:pt idx="103">
                  <c:v>105.50400270837505</c:v>
                </c:pt>
                <c:pt idx="104">
                  <c:v>105.50402497896974</c:v>
                </c:pt>
                <c:pt idx="105">
                  <c:v>105.50406965388767</c:v>
                </c:pt>
                <c:pt idx="106">
                  <c:v>105.50413664927683</c:v>
                </c:pt>
                <c:pt idx="107">
                  <c:v>105.50399996272466</c:v>
                </c:pt>
                <c:pt idx="108">
                  <c:v>105.50399993196478</c:v>
                </c:pt>
                <c:pt idx="109">
                  <c:v>105.50399988780696</c:v>
                </c:pt>
                <c:pt idx="110">
                  <c:v>105.50399982785295</c:v>
                </c:pt>
                <c:pt idx="111">
                  <c:v>105.50399974973317</c:v>
                </c:pt>
                <c:pt idx="112">
                  <c:v>105.50399965109548</c:v>
                </c:pt>
                <c:pt idx="113">
                  <c:v>105.50399952960208</c:v>
                </c:pt>
                <c:pt idx="114">
                  <c:v>105.50399938293481</c:v>
                </c:pt>
                <c:pt idx="115">
                  <c:v>105.5039992087903</c:v>
                </c:pt>
                <c:pt idx="116">
                  <c:v>105.50399900488171</c:v>
                </c:pt>
                <c:pt idx="117">
                  <c:v>105.50399876893853</c:v>
                </c:pt>
                <c:pt idx="118">
                  <c:v>105.50399849870783</c:v>
                </c:pt>
                <c:pt idx="119">
                  <c:v>105.50399819195042</c:v>
                </c:pt>
                <c:pt idx="120">
                  <c:v>105.50399784644569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C-4229-A8C0-C42F64A60982}"/>
            </c:ext>
          </c:extLst>
        </c:ser>
        <c:ser>
          <c:idx val="0"/>
          <c:order val="3"/>
          <c:tx>
            <c:strRef>
              <c:f>'Mphi (N=0)'!$V$10</c:f>
              <c:strCache>
                <c:ptCount val="1"/>
                <c:pt idx="0">
                  <c:v>analitico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'Mphi (N=0)'!$G$7:$J$7</c:f>
              <c:numCache>
                <c:formatCode>0.0000</c:formatCode>
                <c:ptCount val="4"/>
                <c:pt idx="0">
                  <c:v>0</c:v>
                </c:pt>
                <c:pt idx="1">
                  <c:v>2.0000000000000001E-4</c:v>
                </c:pt>
                <c:pt idx="2">
                  <c:v>5.1356351503301402E-3</c:v>
                </c:pt>
                <c:pt idx="3">
                  <c:v>0.13358070500927643</c:v>
                </c:pt>
              </c:numCache>
            </c:numRef>
          </c:xVal>
          <c:yVal>
            <c:numRef>
              <c:f>'Mphi (N=0)'!$G$8:$J$8</c:f>
              <c:numCache>
                <c:formatCode>0</c:formatCode>
                <c:ptCount val="4"/>
                <c:pt idx="0">
                  <c:v>0</c:v>
                </c:pt>
                <c:pt idx="1">
                  <c:v>24.999999999999996</c:v>
                </c:pt>
                <c:pt idx="2">
                  <c:v>88.629050954180187</c:v>
                </c:pt>
                <c:pt idx="3">
                  <c:v>92.333333333333329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E6-4117-856C-6EC47264A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994096"/>
        <c:axId val="328989104"/>
      </c:scatterChart>
      <c:valAx>
        <c:axId val="3289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Curvature</a:t>
                </a:r>
                <a:r>
                  <a:rPr lang="it-IT" baseline="0"/>
                  <a:t> </a:t>
                </a:r>
                <a:r>
                  <a:rPr lang="it-IT" baseline="0">
                    <a:latin typeface="Symbol" panose="05050102010706020507" pitchFamily="18" charset="2"/>
                  </a:rPr>
                  <a:t>f</a:t>
                </a:r>
                <a:r>
                  <a:rPr lang="it-IT" baseline="0"/>
                  <a:t> [1/m]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8989104"/>
        <c:crosses val="autoZero"/>
        <c:crossBetween val="midCat"/>
      </c:valAx>
      <c:valAx>
        <c:axId val="32898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Moment M [kNm]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899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73181647753041"/>
          <c:y val="0.42967689535356957"/>
          <c:w val="0.28292788153756226"/>
          <c:h val="0.186987314473468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Rectangular</a:t>
            </a:r>
            <a:r>
              <a:rPr lang="en-US" sz="1100" baseline="0"/>
              <a:t> section with symmetric reinforcement and non-zero N</a:t>
            </a:r>
            <a:endParaRPr lang="en-US" sz="1100"/>
          </a:p>
        </c:rich>
      </c:tx>
      <c:layout>
        <c:manualLayout>
          <c:xMode val="edge"/>
          <c:yMode val="edge"/>
          <c:x val="0.13332689012024362"/>
          <c:y val="2.9030581055733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2691334795982892"/>
          <c:y val="0.10053155875004732"/>
          <c:w val="0.82519495910334584"/>
          <c:h val="0.692133912348109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'Mphi(N)'!$K$7</c:f>
              <c:strCache>
                <c:ptCount val="1"/>
                <c:pt idx="0">
                  <c:v>M [kNm]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'Mphi(N)'!$L$6:$O$6</c:f>
              <c:numCache>
                <c:formatCode>0.0000</c:formatCode>
                <c:ptCount val="4"/>
                <c:pt idx="0">
                  <c:v>0</c:v>
                </c:pt>
                <c:pt idx="1">
                  <c:v>1.3612903225806449E-3</c:v>
                </c:pt>
                <c:pt idx="2">
                  <c:v>7.5100709686183867E-3</c:v>
                </c:pt>
                <c:pt idx="3">
                  <c:v>1.8666666666666668E-2</c:v>
                </c:pt>
              </c:numCache>
            </c:numRef>
          </c:xVal>
          <c:yVal>
            <c:numRef>
              <c:f>'Mphi(N)'!$L$7:$O$7</c:f>
              <c:numCache>
                <c:formatCode>0</c:formatCode>
                <c:ptCount val="4"/>
                <c:pt idx="0">
                  <c:v>0</c:v>
                </c:pt>
                <c:pt idx="1">
                  <c:v>186.04690123834274</c:v>
                </c:pt>
                <c:pt idx="2">
                  <c:v>414.41881798188882</c:v>
                </c:pt>
                <c:pt idx="3">
                  <c:v>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8E-41A3-A68C-3320B7B2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994096"/>
        <c:axId val="328989104"/>
      </c:scatterChart>
      <c:valAx>
        <c:axId val="3289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Curvature</a:t>
                </a:r>
                <a:r>
                  <a:rPr lang="it-IT" baseline="0"/>
                  <a:t> </a:t>
                </a:r>
                <a:r>
                  <a:rPr lang="it-IT" baseline="0">
                    <a:latin typeface="Symbol" panose="05050102010706020507" pitchFamily="18" charset="2"/>
                  </a:rPr>
                  <a:t>f</a:t>
                </a:r>
                <a:r>
                  <a:rPr lang="it-IT" baseline="0"/>
                  <a:t> [1/m]</a:t>
                </a:r>
                <a:endParaRPr lang="it-I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8989104"/>
        <c:crosses val="autoZero"/>
        <c:crossBetween val="midCat"/>
      </c:valAx>
      <c:valAx>
        <c:axId val="32898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Moment M [kNm]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899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88620920394779"/>
          <c:y val="6.6338944997084315E-2"/>
          <c:w val="0.59860926379268675"/>
          <c:h val="0.8673221100058313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'Mphi(N)'!$C$15:$C$19</c:f>
              <c:numCache>
                <c:formatCode>0.00E+00</c:formatCode>
                <c:ptCount val="5"/>
                <c:pt idx="0">
                  <c:v>6.3064516129032245E-4</c:v>
                </c:pt>
                <c:pt idx="1">
                  <c:v>5.8980645161290312E-4</c:v>
                </c:pt>
                <c:pt idx="2">
                  <c:v>2.9032258064516121E-4</c:v>
                </c:pt>
                <c:pt idx="3">
                  <c:v>-9.1612903225806895E-6</c:v>
                </c:pt>
                <c:pt idx="4">
                  <c:v>-5.0000000000000002E-5</c:v>
                </c:pt>
              </c:numCache>
            </c:numRef>
          </c:xVal>
          <c:yVal>
            <c:numRef>
              <c:f>'Mphi(N)'!$A$15:$A$19</c:f>
              <c:numCache>
                <c:formatCode>General</c:formatCode>
                <c:ptCount val="5"/>
                <c:pt idx="0">
                  <c:v>25</c:v>
                </c:pt>
                <c:pt idx="1">
                  <c:v>22</c:v>
                </c:pt>
                <c:pt idx="2">
                  <c:v>0</c:v>
                </c:pt>
                <c:pt idx="3">
                  <c:v>-22</c:v>
                </c:pt>
                <c:pt idx="4">
                  <c:v>-25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1-4340-BA3E-92E6106CB93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'Mphi(N)'!$C$29</c:f>
              <c:numCache>
                <c:formatCode>0.0</c:formatCode>
                <c:ptCount val="1"/>
                <c:pt idx="0">
                  <c:v>-21.327014218009474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9A-4A6A-949E-186468864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77839"/>
        <c:axId val="598069711"/>
      </c:scatterChart>
      <c:valAx>
        <c:axId val="46657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8069711"/>
        <c:crosses val="autoZero"/>
        <c:crossBetween val="midCat"/>
      </c:valAx>
      <c:valAx>
        <c:axId val="5980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6577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88620920394779"/>
          <c:y val="6.6338944997084315E-2"/>
          <c:w val="0.59860926379268675"/>
          <c:h val="0.8673221100058313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'Mphi(N)'!$E$15:$E$19</c:f>
              <c:numCache>
                <c:formatCode>0.00E+00</c:formatCode>
                <c:ptCount val="5"/>
                <c:pt idx="0">
                  <c:v>1.5297333552506418E-3</c:v>
                </c:pt>
                <c:pt idx="1">
                  <c:v>1.3044312261920902E-3</c:v>
                </c:pt>
                <c:pt idx="2">
                  <c:v>-3.4778438690395491E-4</c:v>
                </c:pt>
                <c:pt idx="3">
                  <c:v>-2E-3</c:v>
                </c:pt>
                <c:pt idx="4">
                  <c:v>-2.2253021290585514E-3</c:v>
                </c:pt>
              </c:numCache>
            </c:numRef>
          </c:xVal>
          <c:yVal>
            <c:numRef>
              <c:f>'Mphi(N)'!$A$15:$A$19</c:f>
              <c:numCache>
                <c:formatCode>General</c:formatCode>
                <c:ptCount val="5"/>
                <c:pt idx="0">
                  <c:v>25</c:v>
                </c:pt>
                <c:pt idx="1">
                  <c:v>22</c:v>
                </c:pt>
                <c:pt idx="2">
                  <c:v>0</c:v>
                </c:pt>
                <c:pt idx="3">
                  <c:v>-22</c:v>
                </c:pt>
                <c:pt idx="4">
                  <c:v>-25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9-4D29-B4BE-965A84C14AB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'Mphi(N)'!$E$29</c:f>
              <c:numCache>
                <c:formatCode>0.0</c:formatCode>
                <c:ptCount val="1"/>
                <c:pt idx="0">
                  <c:v>4.6309067964498354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98-4487-A542-13D78A696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77839"/>
        <c:axId val="598069711"/>
      </c:scatterChart>
      <c:valAx>
        <c:axId val="46657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8069711"/>
        <c:crosses val="autoZero"/>
        <c:crossBetween val="midCat"/>
      </c:valAx>
      <c:valAx>
        <c:axId val="5980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6577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88620920394779"/>
          <c:y val="6.6338944997084315E-2"/>
          <c:w val="0.59860926379268675"/>
          <c:h val="0.8673221100058313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'Mphi(N)'!$G$15:$G$19</c:f>
              <c:numCache>
                <c:formatCode>0.00E+00</c:formatCode>
                <c:ptCount val="5"/>
                <c:pt idx="0">
                  <c:v>3.5000000000000001E-3</c:v>
                </c:pt>
                <c:pt idx="1">
                  <c:v>2.9399999999999999E-3</c:v>
                </c:pt>
                <c:pt idx="2">
                  <c:v>-1.1666666666666674E-3</c:v>
                </c:pt>
                <c:pt idx="3">
                  <c:v>-5.2733333333333339E-3</c:v>
                </c:pt>
                <c:pt idx="4">
                  <c:v>-5.8333333333333345E-3</c:v>
                </c:pt>
              </c:numCache>
            </c:numRef>
          </c:xVal>
          <c:yVal>
            <c:numRef>
              <c:f>'Mphi(N)'!$A$15:$A$19</c:f>
              <c:numCache>
                <c:formatCode>General</c:formatCode>
                <c:ptCount val="5"/>
                <c:pt idx="0">
                  <c:v>25</c:v>
                </c:pt>
                <c:pt idx="1">
                  <c:v>22</c:v>
                </c:pt>
                <c:pt idx="2">
                  <c:v>0</c:v>
                </c:pt>
                <c:pt idx="3">
                  <c:v>-22</c:v>
                </c:pt>
                <c:pt idx="4">
                  <c:v>-25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6C-4882-8CDA-D6B2003D196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'Mphi(N)'!$G$29</c:f>
              <c:numCache>
                <c:formatCode>0.0</c:formatCode>
                <c:ptCount val="1"/>
                <c:pt idx="0">
                  <c:v>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A3-4233-9F25-459A39CE2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77839"/>
        <c:axId val="598069711"/>
      </c:scatterChart>
      <c:valAx>
        <c:axId val="46657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8069711"/>
        <c:crosses val="autoZero"/>
        <c:crossBetween val="midCat"/>
      </c:valAx>
      <c:valAx>
        <c:axId val="5980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6577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5"/>
          <c:order val="0"/>
          <c:tx>
            <c:strRef>
              <c:f>'Mphi stripes'!$X$8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'Mphi stripes'!$W$9:$W$104</c:f>
              <c:numCache>
                <c:formatCode>0.000</c:formatCode>
                <c:ptCount val="96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1.3000000000000001E-2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</c:numCache>
            </c:numRef>
          </c:xVal>
          <c:yVal>
            <c:numRef>
              <c:f>'Mphi stripes'!$X$9:$X$104</c:f>
              <c:numCache>
                <c:formatCode>0.0</c:formatCode>
                <c:ptCount val="96"/>
                <c:pt idx="0">
                  <c:v>-3.943512183468556E-13</c:v>
                </c:pt>
                <c:pt idx="1">
                  <c:v>114.40831634135736</c:v>
                </c:pt>
                <c:pt idx="2">
                  <c:v>206.96939925108489</c:v>
                </c:pt>
                <c:pt idx="3">
                  <c:v>255.80960835894294</c:v>
                </c:pt>
                <c:pt idx="4">
                  <c:v>288.94588838089891</c:v>
                </c:pt>
                <c:pt idx="5">
                  <c:v>314.97460005244625</c:v>
                </c:pt>
                <c:pt idx="6">
                  <c:v>337.18777831007645</c:v>
                </c:pt>
                <c:pt idx="7">
                  <c:v>356.20567431931454</c:v>
                </c:pt>
                <c:pt idx="8">
                  <c:v>373.8512379952432</c:v>
                </c:pt>
                <c:pt idx="9">
                  <c:v>383.15811290333363</c:v>
                </c:pt>
                <c:pt idx="10">
                  <c:v>387.83147127611721</c:v>
                </c:pt>
                <c:pt idx="11">
                  <c:v>391.87613283001178</c:v>
                </c:pt>
                <c:pt idx="12">
                  <c:v>393.37286580372921</c:v>
                </c:pt>
                <c:pt idx="13">
                  <c:v>394.59582887137088</c:v>
                </c:pt>
                <c:pt idx="14">
                  <c:v>395.6919370974432</c:v>
                </c:pt>
                <c:pt idx="15">
                  <c:v>396.64520564591032</c:v>
                </c:pt>
                <c:pt idx="16">
                  <c:v>397.47058137474863</c:v>
                </c:pt>
                <c:pt idx="17">
                  <c:v>398.2383224859189</c:v>
                </c:pt>
                <c:pt idx="18">
                  <c:v>398.94710377549495</c:v>
                </c:pt>
                <c:pt idx="19">
                  <c:v>399.29653713306499</c:v>
                </c:pt>
                <c:pt idx="20">
                  <c:v>399.52334198962797</c:v>
                </c:pt>
                <c:pt idx="21">
                  <c:v>399.71964242916596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ED1-409B-8B4E-E3657715AB32}"/>
            </c:ext>
          </c:extLst>
        </c:ser>
        <c:ser>
          <c:idx val="0"/>
          <c:order val="1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'Mphi stripes'!$Y$9:$Y$1000</c:f>
              <c:numCache>
                <c:formatCode>0.000</c:formatCode>
                <c:ptCount val="992"/>
              </c:numCache>
            </c:numRef>
          </c:xVal>
          <c:yVal>
            <c:numRef>
              <c:f>'Mphi stripes'!$Z$9:$Z$1000</c:f>
              <c:numCache>
                <c:formatCode>0.0</c:formatCode>
                <c:ptCount val="99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ED1-409B-8B4E-E3657715AB32}"/>
            </c:ext>
          </c:extLst>
        </c:ser>
        <c:ser>
          <c:idx val="1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'Mphi stripes'!$AA$9:$AA$1000</c:f>
              <c:numCache>
                <c:formatCode>0.000</c:formatCode>
                <c:ptCount val="992"/>
              </c:numCache>
            </c:numRef>
          </c:xVal>
          <c:yVal>
            <c:numRef>
              <c:f>'Mphi stripes'!$AB$9:$AB$1000</c:f>
              <c:numCache>
                <c:formatCode>0.0</c:formatCode>
                <c:ptCount val="99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ED1-409B-8B4E-E3657715AB32}"/>
            </c:ext>
          </c:extLst>
        </c:ser>
        <c:ser>
          <c:idx val="2"/>
          <c:order val="3"/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22"/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2ED1-409B-8B4E-E3657715AB32}"/>
              </c:ext>
            </c:extLst>
          </c:dPt>
          <c:xVal>
            <c:numRef>
              <c:f>'Mphi stripes'!$AC$9:$AC$1000</c:f>
              <c:numCache>
                <c:formatCode>0.000</c:formatCode>
                <c:ptCount val="992"/>
              </c:numCache>
            </c:numRef>
          </c:xVal>
          <c:yVal>
            <c:numRef>
              <c:f>'Mphi stripes'!$AD$9:$AD$1000</c:f>
              <c:numCache>
                <c:formatCode>0.0</c:formatCode>
                <c:ptCount val="99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ED1-409B-8B4E-E3657715AB32}"/>
            </c:ext>
          </c:extLst>
        </c:ser>
        <c:ser>
          <c:idx val="3"/>
          <c:order val="4"/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'Mphi stripes'!$AE$9:$AE$200</c:f>
              <c:numCache>
                <c:formatCode>0.000</c:formatCode>
                <c:ptCount val="192"/>
              </c:numCache>
            </c:numRef>
          </c:xVal>
          <c:yVal>
            <c:numRef>
              <c:f>'Mphi stripes'!$AF$9:$AF$200</c:f>
              <c:numCache>
                <c:formatCode>0.0</c:formatCode>
                <c:ptCount val="19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4D-452D-B8E7-6AB485D69AF0}"/>
            </c:ext>
          </c:extLst>
        </c:ser>
        <c:ser>
          <c:idx val="4"/>
          <c:order val="5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'Mphi stripes'!$AG$9:$AG$200</c:f>
              <c:numCache>
                <c:formatCode>0.000</c:formatCode>
                <c:ptCount val="192"/>
              </c:numCache>
            </c:numRef>
          </c:xVal>
          <c:yVal>
            <c:numRef>
              <c:f>'Mphi stripes'!$AH$9:$AH$200</c:f>
              <c:numCache>
                <c:formatCode>0.0</c:formatCode>
                <c:ptCount val="19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4D-452D-B8E7-6AB485D69AF0}"/>
            </c:ext>
          </c:extLst>
        </c:ser>
        <c:ser>
          <c:idx val="6"/>
          <c:order val="6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'Mphi stripes'!$AI$9:$AI$200</c:f>
              <c:numCache>
                <c:formatCode>0.000</c:formatCode>
                <c:ptCount val="192"/>
              </c:numCache>
            </c:numRef>
          </c:xVal>
          <c:yVal>
            <c:numRef>
              <c:f>'Mphi stripes'!$AJ$9:$AJ$200</c:f>
              <c:numCache>
                <c:formatCode>0.0</c:formatCode>
                <c:ptCount val="19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4D-452D-B8E7-6AB485D69AF0}"/>
            </c:ext>
          </c:extLst>
        </c:ser>
        <c:ser>
          <c:idx val="7"/>
          <c:order val="7"/>
          <c:tx>
            <c:strRef>
              <c:f>'Mphi stripes'!$AK$7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'Mphi stripes'!$AK$9:$AK$200</c:f>
              <c:numCache>
                <c:formatCode>0.000</c:formatCode>
                <c:ptCount val="192"/>
              </c:numCache>
            </c:numRef>
          </c:xVal>
          <c:yVal>
            <c:numRef>
              <c:f>'Mphi stripes'!$AL$9:$AL$200</c:f>
              <c:numCache>
                <c:formatCode>0.0</c:formatCode>
                <c:ptCount val="19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4D-452D-B8E7-6AB485D69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45192"/>
        <c:axId val="245645584"/>
      </c:scatterChart>
      <c:valAx>
        <c:axId val="24564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Curvatura</a:t>
                </a:r>
                <a:r>
                  <a:rPr lang="it-IT" baseline="0"/>
                  <a:t> [1/m]</a:t>
                </a:r>
                <a:endParaRPr lang="it-I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5645584"/>
        <c:crosses val="autoZero"/>
        <c:crossBetween val="midCat"/>
      </c:valAx>
      <c:valAx>
        <c:axId val="24564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M [kNm]</a:t>
                </a:r>
              </a:p>
            </c:rich>
          </c:tx>
          <c:layout>
            <c:manualLayout>
              <c:xMode val="edge"/>
              <c:yMode val="edge"/>
              <c:x val="1.4650277120950612E-2"/>
              <c:y val="0.384525482767049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564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550482186678279E-2"/>
          <c:y val="9.7292772675280567E-2"/>
          <c:w val="0.86363766684793419"/>
          <c:h val="0.86250072419193635"/>
        </c:manualLayout>
      </c:layout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minus"/>
            <c:errValType val="percentage"/>
            <c:noEndCap val="1"/>
            <c:val val="100"/>
            <c:spPr>
              <a:noFill/>
              <a:ln w="12700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'Mphi stripes'!$D$41:$D$100</c:f>
              <c:numCache>
                <c:formatCode>General</c:formatCode>
                <c:ptCount val="60"/>
                <c:pt idx="0">
                  <c:v>-0.15</c:v>
                </c:pt>
                <c:pt idx="1">
                  <c:v>-0.15</c:v>
                </c:pt>
                <c:pt idx="2">
                  <c:v>-0.15</c:v>
                </c:pt>
                <c:pt idx="3">
                  <c:v>-0.15</c:v>
                </c:pt>
                <c:pt idx="4">
                  <c:v>-0.15</c:v>
                </c:pt>
                <c:pt idx="5">
                  <c:v>-0.15</c:v>
                </c:pt>
                <c:pt idx="6">
                  <c:v>-0.15</c:v>
                </c:pt>
                <c:pt idx="7">
                  <c:v>-0.15</c:v>
                </c:pt>
                <c:pt idx="8">
                  <c:v>-0.15</c:v>
                </c:pt>
                <c:pt idx="9">
                  <c:v>-0.15</c:v>
                </c:pt>
                <c:pt idx="10">
                  <c:v>-0.15</c:v>
                </c:pt>
                <c:pt idx="11">
                  <c:v>-0.15</c:v>
                </c:pt>
                <c:pt idx="12">
                  <c:v>-0.15</c:v>
                </c:pt>
                <c:pt idx="13">
                  <c:v>-0.15</c:v>
                </c:pt>
                <c:pt idx="14">
                  <c:v>-0.15</c:v>
                </c:pt>
                <c:pt idx="15">
                  <c:v>-0.15</c:v>
                </c:pt>
                <c:pt idx="16">
                  <c:v>-0.15</c:v>
                </c:pt>
                <c:pt idx="17">
                  <c:v>-0.15</c:v>
                </c:pt>
                <c:pt idx="18">
                  <c:v>-0.15</c:v>
                </c:pt>
                <c:pt idx="19">
                  <c:v>-0.15</c:v>
                </c:pt>
                <c:pt idx="20">
                  <c:v>-0.15</c:v>
                </c:pt>
                <c:pt idx="21">
                  <c:v>-0.15</c:v>
                </c:pt>
                <c:pt idx="22">
                  <c:v>-0.15</c:v>
                </c:pt>
                <c:pt idx="23">
                  <c:v>-0.15</c:v>
                </c:pt>
                <c:pt idx="24">
                  <c:v>-0.15</c:v>
                </c:pt>
                <c:pt idx="25">
                  <c:v>-0.15</c:v>
                </c:pt>
                <c:pt idx="26">
                  <c:v>-0.15</c:v>
                </c:pt>
                <c:pt idx="27">
                  <c:v>-0.15</c:v>
                </c:pt>
                <c:pt idx="28">
                  <c:v>-0.15</c:v>
                </c:pt>
                <c:pt idx="29">
                  <c:v>-0.15</c:v>
                </c:pt>
                <c:pt idx="30">
                  <c:v>-0.15</c:v>
                </c:pt>
                <c:pt idx="31">
                  <c:v>-0.15</c:v>
                </c:pt>
                <c:pt idx="32">
                  <c:v>-0.15</c:v>
                </c:pt>
                <c:pt idx="33">
                  <c:v>-0.15</c:v>
                </c:pt>
                <c:pt idx="34">
                  <c:v>-0.15</c:v>
                </c:pt>
                <c:pt idx="35">
                  <c:v>-0.15</c:v>
                </c:pt>
                <c:pt idx="36">
                  <c:v>-0.15</c:v>
                </c:pt>
                <c:pt idx="37">
                  <c:v>-0.15</c:v>
                </c:pt>
                <c:pt idx="38">
                  <c:v>-0.15</c:v>
                </c:pt>
                <c:pt idx="39">
                  <c:v>-0.15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'Mphi stripes'!$F$41:$F$100</c:f>
              <c:numCache>
                <c:formatCode>General</c:formatCode>
                <c:ptCount val="60"/>
                <c:pt idx="0">
                  <c:v>0.24999999999999981</c:v>
                </c:pt>
                <c:pt idx="1">
                  <c:v>0.22499999999999978</c:v>
                </c:pt>
                <c:pt idx="2">
                  <c:v>0.22499999999999981</c:v>
                </c:pt>
                <c:pt idx="3">
                  <c:v>0.19999999999999979</c:v>
                </c:pt>
                <c:pt idx="4">
                  <c:v>0.19999999999999982</c:v>
                </c:pt>
                <c:pt idx="5">
                  <c:v>0.17499999999999979</c:v>
                </c:pt>
                <c:pt idx="6">
                  <c:v>0.17499999999999982</c:v>
                </c:pt>
                <c:pt idx="7">
                  <c:v>0.1499999999999998</c:v>
                </c:pt>
                <c:pt idx="8">
                  <c:v>0.14999999999999983</c:v>
                </c:pt>
                <c:pt idx="9">
                  <c:v>0.12499999999999982</c:v>
                </c:pt>
                <c:pt idx="10">
                  <c:v>0.12499999999999982</c:v>
                </c:pt>
                <c:pt idx="11">
                  <c:v>9.9999999999999825E-2</c:v>
                </c:pt>
                <c:pt idx="12">
                  <c:v>9.9999999999999825E-2</c:v>
                </c:pt>
                <c:pt idx="13">
                  <c:v>7.4999999999999831E-2</c:v>
                </c:pt>
                <c:pt idx="14">
                  <c:v>7.4999999999999831E-2</c:v>
                </c:pt>
                <c:pt idx="15">
                  <c:v>4.9999999999999836E-2</c:v>
                </c:pt>
                <c:pt idx="16">
                  <c:v>4.9999999999999836E-2</c:v>
                </c:pt>
                <c:pt idx="17">
                  <c:v>2.4999999999999838E-2</c:v>
                </c:pt>
                <c:pt idx="18">
                  <c:v>2.4999999999999845E-2</c:v>
                </c:pt>
                <c:pt idx="19">
                  <c:v>-1.5612511283791264E-16</c:v>
                </c:pt>
                <c:pt idx="20">
                  <c:v>-1.4918621893400541E-16</c:v>
                </c:pt>
                <c:pt idx="21">
                  <c:v>-2.5000000000000151E-2</c:v>
                </c:pt>
                <c:pt idx="22">
                  <c:v>-2.5000000000000171E-2</c:v>
                </c:pt>
                <c:pt idx="23">
                  <c:v>-5.0000000000000169E-2</c:v>
                </c:pt>
                <c:pt idx="24">
                  <c:v>-5.0000000000000197E-2</c:v>
                </c:pt>
                <c:pt idx="25">
                  <c:v>-7.5000000000000192E-2</c:v>
                </c:pt>
                <c:pt idx="26">
                  <c:v>-7.5000000000000219E-2</c:v>
                </c:pt>
                <c:pt idx="27">
                  <c:v>-0.10000000000000021</c:v>
                </c:pt>
                <c:pt idx="28">
                  <c:v>-0.10000000000000024</c:v>
                </c:pt>
                <c:pt idx="29">
                  <c:v>-0.12500000000000025</c:v>
                </c:pt>
                <c:pt idx="30">
                  <c:v>-0.12500000000000025</c:v>
                </c:pt>
                <c:pt idx="31">
                  <c:v>-0.15000000000000027</c:v>
                </c:pt>
                <c:pt idx="32">
                  <c:v>-0.15000000000000027</c:v>
                </c:pt>
                <c:pt idx="33">
                  <c:v>-0.17500000000000029</c:v>
                </c:pt>
                <c:pt idx="34">
                  <c:v>-0.17500000000000029</c:v>
                </c:pt>
                <c:pt idx="35">
                  <c:v>-0.20000000000000032</c:v>
                </c:pt>
                <c:pt idx="36">
                  <c:v>-0.20000000000000032</c:v>
                </c:pt>
                <c:pt idx="37">
                  <c:v>-0.22500000000000034</c:v>
                </c:pt>
                <c:pt idx="38">
                  <c:v>-0.22500000000000034</c:v>
                </c:pt>
                <c:pt idx="39">
                  <c:v>-0.25000000000000033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E-4537-88B9-6DB005AE00B7}"/>
            </c:ext>
          </c:extLst>
        </c:ser>
        <c:ser>
          <c:idx val="1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minus"/>
            <c:errValType val="percentage"/>
            <c:noEndCap val="1"/>
            <c:val val="100"/>
            <c:spPr>
              <a:noFill/>
              <a:ln w="12700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'Mphi stripes'!$E$41:$E$100</c:f>
              <c:numCache>
                <c:formatCode>General</c:formatCode>
                <c:ptCount val="60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0.15</c:v>
                </c:pt>
                <c:pt idx="8">
                  <c:v>0.15</c:v>
                </c:pt>
                <c:pt idx="9">
                  <c:v>0.15</c:v>
                </c:pt>
                <c:pt idx="10">
                  <c:v>0.15</c:v>
                </c:pt>
                <c:pt idx="11">
                  <c:v>0.15</c:v>
                </c:pt>
                <c:pt idx="12">
                  <c:v>0.15</c:v>
                </c:pt>
                <c:pt idx="13">
                  <c:v>0.15</c:v>
                </c:pt>
                <c:pt idx="14">
                  <c:v>0.15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xVal>
          <c:yVal>
            <c:numRef>
              <c:f>'Mphi stripes'!$F$41:$F$100</c:f>
              <c:numCache>
                <c:formatCode>General</c:formatCode>
                <c:ptCount val="60"/>
                <c:pt idx="0">
                  <c:v>0.24999999999999981</c:v>
                </c:pt>
                <c:pt idx="1">
                  <c:v>0.22499999999999978</c:v>
                </c:pt>
                <c:pt idx="2">
                  <c:v>0.22499999999999981</c:v>
                </c:pt>
                <c:pt idx="3">
                  <c:v>0.19999999999999979</c:v>
                </c:pt>
                <c:pt idx="4">
                  <c:v>0.19999999999999982</c:v>
                </c:pt>
                <c:pt idx="5">
                  <c:v>0.17499999999999979</c:v>
                </c:pt>
                <c:pt idx="6">
                  <c:v>0.17499999999999982</c:v>
                </c:pt>
                <c:pt idx="7">
                  <c:v>0.1499999999999998</c:v>
                </c:pt>
                <c:pt idx="8">
                  <c:v>0.14999999999999983</c:v>
                </c:pt>
                <c:pt idx="9">
                  <c:v>0.12499999999999982</c:v>
                </c:pt>
                <c:pt idx="10">
                  <c:v>0.12499999999999982</c:v>
                </c:pt>
                <c:pt idx="11">
                  <c:v>9.9999999999999825E-2</c:v>
                </c:pt>
                <c:pt idx="12">
                  <c:v>9.9999999999999825E-2</c:v>
                </c:pt>
                <c:pt idx="13">
                  <c:v>7.4999999999999831E-2</c:v>
                </c:pt>
                <c:pt idx="14">
                  <c:v>7.4999999999999831E-2</c:v>
                </c:pt>
                <c:pt idx="15">
                  <c:v>4.9999999999999836E-2</c:v>
                </c:pt>
                <c:pt idx="16">
                  <c:v>4.9999999999999836E-2</c:v>
                </c:pt>
                <c:pt idx="17">
                  <c:v>2.4999999999999838E-2</c:v>
                </c:pt>
                <c:pt idx="18">
                  <c:v>2.4999999999999845E-2</c:v>
                </c:pt>
                <c:pt idx="19">
                  <c:v>-1.5612511283791264E-16</c:v>
                </c:pt>
                <c:pt idx="20">
                  <c:v>-1.4918621893400541E-16</c:v>
                </c:pt>
                <c:pt idx="21">
                  <c:v>-2.5000000000000151E-2</c:v>
                </c:pt>
                <c:pt idx="22">
                  <c:v>-2.5000000000000171E-2</c:v>
                </c:pt>
                <c:pt idx="23">
                  <c:v>-5.0000000000000169E-2</c:v>
                </c:pt>
                <c:pt idx="24">
                  <c:v>-5.0000000000000197E-2</c:v>
                </c:pt>
                <c:pt idx="25">
                  <c:v>-7.5000000000000192E-2</c:v>
                </c:pt>
                <c:pt idx="26">
                  <c:v>-7.5000000000000219E-2</c:v>
                </c:pt>
                <c:pt idx="27">
                  <c:v>-0.10000000000000021</c:v>
                </c:pt>
                <c:pt idx="28">
                  <c:v>-0.10000000000000024</c:v>
                </c:pt>
                <c:pt idx="29">
                  <c:v>-0.12500000000000025</c:v>
                </c:pt>
                <c:pt idx="30">
                  <c:v>-0.12500000000000025</c:v>
                </c:pt>
                <c:pt idx="31">
                  <c:v>-0.15000000000000027</c:v>
                </c:pt>
                <c:pt idx="32">
                  <c:v>-0.15000000000000027</c:v>
                </c:pt>
                <c:pt idx="33">
                  <c:v>-0.17500000000000029</c:v>
                </c:pt>
                <c:pt idx="34">
                  <c:v>-0.17500000000000029</c:v>
                </c:pt>
                <c:pt idx="35">
                  <c:v>-0.20000000000000032</c:v>
                </c:pt>
                <c:pt idx="36">
                  <c:v>-0.20000000000000032</c:v>
                </c:pt>
                <c:pt idx="37">
                  <c:v>-0.22500000000000034</c:v>
                </c:pt>
                <c:pt idx="38">
                  <c:v>-0.22500000000000034</c:v>
                </c:pt>
                <c:pt idx="39">
                  <c:v>-0.25000000000000033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DE-4537-88B9-6DB005AE0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91448"/>
        <c:axId val="246591840"/>
      </c:scatterChart>
      <c:valAx>
        <c:axId val="24659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6591840"/>
        <c:crosses val="autoZero"/>
        <c:crossBetween val="midCat"/>
      </c:valAx>
      <c:valAx>
        <c:axId val="246591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659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62327165679972"/>
          <c:y val="5.0925925925925923E-2"/>
          <c:w val="0.83859687514246817"/>
          <c:h val="0.89814814814814814"/>
        </c:manualLayout>
      </c:layout>
      <c:scatterChart>
        <c:scatterStyle val="lineMarker"/>
        <c:varyColors val="0"/>
        <c:ser>
          <c:idx val="0"/>
          <c:order val="0"/>
          <c:tx>
            <c:v>Originale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bilin!$B$6:$B$1000</c:f>
              <c:numCache>
                <c:formatCode>0.000</c:formatCode>
                <c:ptCount val="995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1.3000000000000001E-2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2.6000000000000002E-2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3.6000000000000004E-2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4.3000000000000003E-2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5.1000000000000004E-2</c:v>
                </c:pt>
                <c:pt idx="52">
                  <c:v>5.2000000000000005E-2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5.9000000000000004E-2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7.1000000000000008E-2</c:v>
                </c:pt>
                <c:pt idx="72">
                  <c:v>7.2000000000000008E-2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</c:numCache>
            </c:numRef>
          </c:xVal>
          <c:yVal>
            <c:numRef>
              <c:f>bilin!$C$6:$C$1000</c:f>
              <c:numCache>
                <c:formatCode>0.0</c:formatCode>
                <c:ptCount val="995"/>
                <c:pt idx="0">
                  <c:v>-7.460698725481052E-14</c:v>
                </c:pt>
                <c:pt idx="1">
                  <c:v>30.688810005413199</c:v>
                </c:pt>
                <c:pt idx="2">
                  <c:v>60.976666165394917</c:v>
                </c:pt>
                <c:pt idx="3">
                  <c:v>90.452809928621306</c:v>
                </c:pt>
                <c:pt idx="4">
                  <c:v>116.33936701438125</c:v>
                </c:pt>
                <c:pt idx="5">
                  <c:v>135.82458057453513</c:v>
                </c:pt>
                <c:pt idx="6">
                  <c:v>150.66915461676032</c:v>
                </c:pt>
                <c:pt idx="7">
                  <c:v>163.53332575404025</c:v>
                </c:pt>
                <c:pt idx="8">
                  <c:v>169.66970381537385</c:v>
                </c:pt>
                <c:pt idx="9">
                  <c:v>174.93480296371681</c:v>
                </c:pt>
                <c:pt idx="10">
                  <c:v>179.47496573522992</c:v>
                </c:pt>
                <c:pt idx="11">
                  <c:v>183.59818195328432</c:v>
                </c:pt>
                <c:pt idx="12">
                  <c:v>187.26056878450026</c:v>
                </c:pt>
                <c:pt idx="13">
                  <c:v>190.63253441718854</c:v>
                </c:pt>
                <c:pt idx="14">
                  <c:v>193.82682777195095</c:v>
                </c:pt>
                <c:pt idx="15">
                  <c:v>196.82701993221036</c:v>
                </c:pt>
                <c:pt idx="16">
                  <c:v>199.61392303498027</c:v>
                </c:pt>
                <c:pt idx="17">
                  <c:v>202.21313641353302</c:v>
                </c:pt>
                <c:pt idx="18">
                  <c:v>203.21107720455234</c:v>
                </c:pt>
                <c:pt idx="19">
                  <c:v>203.51869556112041</c:v>
                </c:pt>
                <c:pt idx="20">
                  <c:v>203.59536652313679</c:v>
                </c:pt>
                <c:pt idx="21">
                  <c:v>203.66994964807316</c:v>
                </c:pt>
                <c:pt idx="22">
                  <c:v>203.74231878618275</c:v>
                </c:pt>
                <c:pt idx="23">
                  <c:v>203.81234450458277</c:v>
                </c:pt>
                <c:pt idx="24">
                  <c:v>203.87989332247747</c:v>
                </c:pt>
                <c:pt idx="25">
                  <c:v>203.94482733503966</c:v>
                </c:pt>
                <c:pt idx="26">
                  <c:v>204.00700379899627</c:v>
                </c:pt>
                <c:pt idx="27">
                  <c:v>204.06627467439731</c:v>
                </c:pt>
                <c:pt idx="28">
                  <c:v>204.12248611610156</c:v>
                </c:pt>
                <c:pt idx="29">
                  <c:v>204.17547790737348</c:v>
                </c:pt>
                <c:pt idx="30">
                  <c:v>204.22508282660397</c:v>
                </c:pt>
                <c:pt idx="31">
                  <c:v>204.27112593648221</c:v>
                </c:pt>
                <c:pt idx="32">
                  <c:v>204.31342378287792</c:v>
                </c:pt>
                <c:pt idx="33">
                  <c:v>204.35177542044033</c:v>
                </c:pt>
                <c:pt idx="34">
                  <c:v>204.38600046066387</c:v>
                </c:pt>
                <c:pt idx="35">
                  <c:v>204.41587064542017</c:v>
                </c:pt>
                <c:pt idx="36">
                  <c:v>204.44114453324892</c:v>
                </c:pt>
                <c:pt idx="37">
                  <c:v>204.46426369161617</c:v>
                </c:pt>
                <c:pt idx="38">
                  <c:v>204.48740295001292</c:v>
                </c:pt>
                <c:pt idx="39">
                  <c:v>204.51057366907821</c:v>
                </c:pt>
                <c:pt idx="40">
                  <c:v>204.53377561081123</c:v>
                </c:pt>
                <c:pt idx="41">
                  <c:v>204.55700850084804</c:v>
                </c:pt>
                <c:pt idx="42">
                  <c:v>204.58027206868425</c:v>
                </c:pt>
                <c:pt idx="43">
                  <c:v>204.60356604773278</c:v>
                </c:pt>
                <c:pt idx="44">
                  <c:v>204.62689017524548</c:v>
                </c:pt>
                <c:pt idx="45">
                  <c:v>204.65024419223619</c:v>
                </c:pt>
                <c:pt idx="46">
                  <c:v>204.67362784340571</c:v>
                </c:pt>
                <c:pt idx="47">
                  <c:v>204.69704087706884</c:v>
                </c:pt>
                <c:pt idx="48">
                  <c:v>204.72048304508297</c:v>
                </c:pt>
                <c:pt idx="49">
                  <c:v>204.74395410277884</c:v>
                </c:pt>
                <c:pt idx="50">
                  <c:v>204.7674538088927</c:v>
                </c:pt>
                <c:pt idx="51">
                  <c:v>204.79098192550052</c:v>
                </c:pt>
                <c:pt idx="52">
                  <c:v>204.81453821795336</c:v>
                </c:pt>
                <c:pt idx="53">
                  <c:v>204.83812245481479</c:v>
                </c:pt>
                <c:pt idx="54">
                  <c:v>204.86174904678839</c:v>
                </c:pt>
                <c:pt idx="55">
                  <c:v>204.88539006412293</c:v>
                </c:pt>
                <c:pt idx="56">
                  <c:v>204.90905836086361</c:v>
                </c:pt>
                <c:pt idx="57">
                  <c:v>204.93275371772137</c:v>
                </c:pt>
                <c:pt idx="58">
                  <c:v>204.95647591835024</c:v>
                </c:pt>
                <c:pt idx="59">
                  <c:v>204.98022474927185</c:v>
                </c:pt>
                <c:pt idx="60">
                  <c:v>205.0039999998225</c:v>
                </c:pt>
                <c:pt idx="61">
                  <c:v>205.02780146210125</c:v>
                </c:pt>
                <c:pt idx="62">
                  <c:v>205.05162893091986</c:v>
                </c:pt>
                <c:pt idx="63">
                  <c:v>205.0754822037531</c:v>
                </c:pt>
                <c:pt idx="64">
                  <c:v>205.09936108069087</c:v>
                </c:pt>
                <c:pt idx="65">
                  <c:v>205.12326536439099</c:v>
                </c:pt>
                <c:pt idx="66">
                  <c:v>205.14719486003349</c:v>
                </c:pt>
                <c:pt idx="67">
                  <c:v>205.17114937527543</c:v>
                </c:pt>
                <c:pt idx="68">
                  <c:v>205.19512872020726</c:v>
                </c:pt>
                <c:pt idx="69">
                  <c:v>205.21913270730977</c:v>
                </c:pt>
                <c:pt idx="70">
                  <c:v>205.24316115141232</c:v>
                </c:pt>
                <c:pt idx="71">
                  <c:v>205.2672138696517</c:v>
                </c:pt>
                <c:pt idx="72">
                  <c:v>205.29129068143232</c:v>
                </c:pt>
                <c:pt idx="73">
                  <c:v>205.31539140838677</c:v>
                </c:pt>
                <c:pt idx="74">
                  <c:v>205.33951587433768</c:v>
                </c:pt>
                <c:pt idx="75">
                  <c:v>205.36366390526024</c:v>
                </c:pt>
                <c:pt idx="76">
                  <c:v>205.38783532924543</c:v>
                </c:pt>
                <c:pt idx="77">
                  <c:v>205.41202971847454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0-4CD7-88D7-14E22664C9A5}"/>
            </c:ext>
          </c:extLst>
        </c:ser>
        <c:ser>
          <c:idx val="1"/>
          <c:order val="1"/>
          <c:tx>
            <c:v>a) Bilineare kh=0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bilin!$L$15:$L$17</c:f>
              <c:numCache>
                <c:formatCode>General</c:formatCode>
                <c:ptCount val="3"/>
                <c:pt idx="0">
                  <c:v>0</c:v>
                </c:pt>
                <c:pt idx="1">
                  <c:v>9.8769842157892807E-3</c:v>
                </c:pt>
                <c:pt idx="2" formatCode="0.000">
                  <c:v>7.6999999999999999E-2</c:v>
                </c:pt>
              </c:numCache>
            </c:numRef>
          </c:xVal>
          <c:yVal>
            <c:numRef>
              <c:f>bilin!$M$15:$M$17</c:f>
              <c:numCache>
                <c:formatCode>0</c:formatCode>
                <c:ptCount val="3"/>
                <c:pt idx="0" formatCode="General">
                  <c:v>0</c:v>
                </c:pt>
                <c:pt idx="1">
                  <c:v>205.41202971847454</c:v>
                </c:pt>
                <c:pt idx="2" formatCode="0.0">
                  <c:v>205.41202971847454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B0-4CD7-88D7-14E22664C9A5}"/>
            </c:ext>
          </c:extLst>
        </c:ser>
        <c:ser>
          <c:idx val="2"/>
          <c:order val="2"/>
          <c:tx>
            <c:v>b) Bilineare kh&gt;0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bilin!$N$15:$N$17</c:f>
              <c:numCache>
                <c:formatCode>General</c:formatCode>
                <c:ptCount val="3"/>
                <c:pt idx="0">
                  <c:v>0</c:v>
                </c:pt>
                <c:pt idx="1">
                  <c:v>9.2899290840722237E-3</c:v>
                </c:pt>
                <c:pt idx="2" formatCode="0.000">
                  <c:v>7.6999999999999999E-2</c:v>
                </c:pt>
              </c:numCache>
            </c:numRef>
          </c:xVal>
          <c:yVal>
            <c:numRef>
              <c:f>bilin!$O$15:$O$17</c:f>
              <c:numCache>
                <c:formatCode>0</c:formatCode>
                <c:ptCount val="3"/>
                <c:pt idx="0" formatCode="General">
                  <c:v>0</c:v>
                </c:pt>
                <c:pt idx="1">
                  <c:v>203.84594937869988</c:v>
                </c:pt>
                <c:pt idx="2">
                  <c:v>205.41202971847454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6B0-4CD7-88D7-14E22664C9A5}"/>
            </c:ext>
          </c:extLst>
        </c:ser>
        <c:ser>
          <c:idx val="3"/>
          <c:order val="3"/>
          <c:tx>
            <c:v>c) Bilineare EN1998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bilin!$P$15:$P$17</c:f>
              <c:numCache>
                <c:formatCode>0.0000</c:formatCode>
                <c:ptCount val="3"/>
                <c:pt idx="0" formatCode="General">
                  <c:v>0</c:v>
                </c:pt>
                <c:pt idx="1">
                  <c:v>6.4363466237831379E-3</c:v>
                </c:pt>
                <c:pt idx="2" formatCode="0.000">
                  <c:v>7.6999999999999999E-2</c:v>
                </c:pt>
              </c:numCache>
            </c:numRef>
          </c:xVal>
          <c:yVal>
            <c:numRef>
              <c:f>bilin!$Q$15:$Q$17</c:f>
              <c:numCache>
                <c:formatCode>0</c:formatCode>
                <c:ptCount val="3"/>
                <c:pt idx="0" formatCode="General">
                  <c:v>0</c:v>
                </c:pt>
                <c:pt idx="1">
                  <c:v>196.23347970159574</c:v>
                </c:pt>
                <c:pt idx="2">
                  <c:v>205.41202971847454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E8-43C3-B742-ED6A47DDC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56960"/>
        <c:axId val="555235424"/>
      </c:scatterChart>
      <c:valAx>
        <c:axId val="54405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5235424"/>
        <c:crosses val="autoZero"/>
        <c:crossBetween val="midCat"/>
      </c:valAx>
      <c:valAx>
        <c:axId val="555235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405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428550959666017"/>
          <c:y val="0.42910797608632256"/>
          <c:w val="0.3350878906886019"/>
          <c:h val="0.381358601361270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13</xdr:row>
      <xdr:rowOff>66675</xdr:rowOff>
    </xdr:from>
    <xdr:to>
      <xdr:col>8</xdr:col>
      <xdr:colOff>104775</xdr:colOff>
      <xdr:row>23</xdr:row>
      <xdr:rowOff>47625</xdr:rowOff>
    </xdr:to>
    <xdr:graphicFrame macro="">
      <xdr:nvGraphicFramePr>
        <xdr:cNvPr id="2" name="Grafico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92319</xdr:colOff>
      <xdr:row>22</xdr:row>
      <xdr:rowOff>42495</xdr:rowOff>
    </xdr:from>
    <xdr:to>
      <xdr:col>16</xdr:col>
      <xdr:colOff>315057</xdr:colOff>
      <xdr:row>32</xdr:row>
      <xdr:rowOff>23445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14570</xdr:colOff>
      <xdr:row>12</xdr:row>
      <xdr:rowOff>90766</xdr:rowOff>
    </xdr:from>
    <xdr:to>
      <xdr:col>9</xdr:col>
      <xdr:colOff>270890</xdr:colOff>
      <xdr:row>31</xdr:row>
      <xdr:rowOff>78440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82234</xdr:colOff>
      <xdr:row>18</xdr:row>
      <xdr:rowOff>52652</xdr:rowOff>
    </xdr:from>
    <xdr:to>
      <xdr:col>24</xdr:col>
      <xdr:colOff>7689</xdr:colOff>
      <xdr:row>37</xdr:row>
      <xdr:rowOff>2957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121355</xdr:colOff>
      <xdr:row>18</xdr:row>
      <xdr:rowOff>44445</xdr:rowOff>
    </xdr:from>
    <xdr:to>
      <xdr:col>34</xdr:col>
      <xdr:colOff>108856</xdr:colOff>
      <xdr:row>36</xdr:row>
      <xdr:rowOff>158065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2206</xdr:colOff>
      <xdr:row>1</xdr:row>
      <xdr:rowOff>53463</xdr:rowOff>
    </xdr:from>
    <xdr:to>
      <xdr:col>19</xdr:col>
      <xdr:colOff>9524</xdr:colOff>
      <xdr:row>19</xdr:row>
      <xdr:rowOff>123826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102734</xdr:colOff>
      <xdr:row>1</xdr:row>
      <xdr:rowOff>42035</xdr:rowOff>
    </xdr:from>
    <xdr:to>
      <xdr:col>5</xdr:col>
      <xdr:colOff>671512</xdr:colOff>
      <xdr:row>11</xdr:row>
      <xdr:rowOff>195262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561975</xdr:colOff>
      <xdr:row>1</xdr:row>
      <xdr:rowOff>47625</xdr:rowOff>
    </xdr:from>
    <xdr:to>
      <xdr:col>7</xdr:col>
      <xdr:colOff>497341</xdr:colOff>
      <xdr:row>12</xdr:row>
      <xdr:rowOff>827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361950</xdr:colOff>
      <xdr:row>1</xdr:row>
      <xdr:rowOff>47625</xdr:rowOff>
    </xdr:from>
    <xdr:to>
      <xdr:col>9</xdr:col>
      <xdr:colOff>516390</xdr:colOff>
      <xdr:row>12</xdr:row>
      <xdr:rowOff>827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185777</xdr:colOff>
      <xdr:row>15</xdr:row>
      <xdr:rowOff>9363</xdr:rowOff>
    </xdr:from>
    <xdr:to>
      <xdr:col>20</xdr:col>
      <xdr:colOff>353345</xdr:colOff>
      <xdr:row>31</xdr:row>
      <xdr:rowOff>103251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0</xdr:row>
          <xdr:rowOff>76200</xdr:rowOff>
        </xdr:from>
        <xdr:to>
          <xdr:col>11</xdr:col>
          <xdr:colOff>295275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M-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Symbol"/>
                </a:rPr>
                <a:t>f 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(N</a:t>
              </a:r>
              <a:r>
                <a:rPr lang="it-IT" sz="1100" b="0" i="0" u="none" strike="noStrike" baseline="-25000">
                  <a:solidFill>
                    <a:srgbClr val="000000"/>
                  </a:solidFill>
                  <a:latin typeface="Calibri"/>
                </a:rPr>
                <a:t>E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552769</xdr:colOff>
      <xdr:row>28</xdr:row>
      <xdr:rowOff>168888</xdr:rowOff>
    </xdr:from>
    <xdr:to>
      <xdr:col>10</xdr:col>
      <xdr:colOff>297624</xdr:colOff>
      <xdr:row>45</xdr:row>
      <xdr:rowOff>89081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104775</xdr:rowOff>
        </xdr:from>
        <xdr:to>
          <xdr:col>14</xdr:col>
          <xdr:colOff>114300</xdr:colOff>
          <xdr:row>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M-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Symbol"/>
                </a:rPr>
                <a:t>f (n</a:t>
              </a: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=0-0.3)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533400</xdr:colOff>
      <xdr:row>21</xdr:row>
      <xdr:rowOff>123825</xdr:rowOff>
    </xdr:from>
    <xdr:to>
      <xdr:col>17</xdr:col>
      <xdr:colOff>15723</xdr:colOff>
      <xdr:row>38</xdr:row>
      <xdr:rowOff>67713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48225" y="4257675"/>
          <a:ext cx="5578323" cy="3182388"/>
        </a:xfrm>
        <a:prstGeom prst="rect">
          <a:avLst/>
        </a:prstGeom>
      </xdr:spPr>
    </xdr:pic>
    <xdr:clientData/>
  </xdr:twoCellAnchor>
  <xdr:twoCellAnchor>
    <xdr:from>
      <xdr:col>10</xdr:col>
      <xdr:colOff>590550</xdr:colOff>
      <xdr:row>9</xdr:row>
      <xdr:rowOff>152400</xdr:rowOff>
    </xdr:from>
    <xdr:to>
      <xdr:col>17</xdr:col>
      <xdr:colOff>161925</xdr:colOff>
      <xdr:row>21</xdr:row>
      <xdr:rowOff>114300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</xdr:colOff>
      <xdr:row>22</xdr:row>
      <xdr:rowOff>106707</xdr:rowOff>
    </xdr:from>
    <xdr:to>
      <xdr:col>21</xdr:col>
      <xdr:colOff>419101</xdr:colOff>
      <xdr:row>36</xdr:row>
      <xdr:rowOff>76268</xdr:rowOff>
    </xdr:to>
    <xdr:grpSp>
      <xdr:nvGrpSpPr>
        <xdr:cNvPr id="8" name="Gruppo 7"/>
        <xdr:cNvGrpSpPr/>
      </xdr:nvGrpSpPr>
      <xdr:grpSpPr>
        <a:xfrm>
          <a:off x="10410826" y="4469157"/>
          <a:ext cx="2857500" cy="2636561"/>
          <a:chOff x="12296776" y="3554757"/>
          <a:chExt cx="2857500" cy="2636561"/>
        </a:xfrm>
      </xdr:grpSpPr>
      <xdr:pic>
        <xdr:nvPicPr>
          <xdr:cNvPr id="3" name="Immagine 2"/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>
            <a:off x="12573000" y="5705475"/>
            <a:ext cx="1381318" cy="485843"/>
          </a:xfrm>
          <a:prstGeom prst="rect">
            <a:avLst/>
          </a:prstGeom>
        </xdr:spPr>
      </xdr:pic>
      <xdr:pic>
        <xdr:nvPicPr>
          <xdr:cNvPr id="4" name="Immagine 3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296776" y="3554757"/>
            <a:ext cx="2857500" cy="2055812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olo Franchin" id="{CED4503E-B16E-4B97-9E1A-C58AE983DE8D}" userId="17b0d2f1cacb8c7e" providerId="Windows Live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B2:E16"/>
  <sheetViews>
    <sheetView workbookViewId="0">
      <selection activeCell="B5" sqref="B5"/>
    </sheetView>
  </sheetViews>
  <sheetFormatPr defaultRowHeight="15"/>
  <sheetData>
    <row r="2" spans="2:5">
      <c r="B2" s="30" t="s">
        <v>102</v>
      </c>
    </row>
    <row r="3" spans="2:5">
      <c r="B3" s="20" t="s">
        <v>117</v>
      </c>
    </row>
    <row r="4" spans="2:5">
      <c r="B4" s="50" t="s">
        <v>199</v>
      </c>
    </row>
    <row r="5" spans="2:5">
      <c r="C5" s="21" t="s">
        <v>103</v>
      </c>
      <c r="E5" t="s">
        <v>104</v>
      </c>
    </row>
    <row r="6" spans="2:5">
      <c r="C6" s="21" t="s">
        <v>105</v>
      </c>
      <c r="E6" t="s">
        <v>106</v>
      </c>
    </row>
    <row r="7" spans="2:5">
      <c r="C7" s="21" t="s">
        <v>107</v>
      </c>
      <c r="E7" t="s">
        <v>108</v>
      </c>
    </row>
    <row r="8" spans="2:5">
      <c r="C8" s="21" t="s">
        <v>109</v>
      </c>
      <c r="E8" t="s">
        <v>110</v>
      </c>
    </row>
    <row r="9" spans="2:5">
      <c r="C9" s="21" t="s">
        <v>111</v>
      </c>
      <c r="E9" t="s">
        <v>112</v>
      </c>
    </row>
    <row r="10" spans="2:5">
      <c r="C10" s="21" t="s">
        <v>113</v>
      </c>
      <c r="E10" t="s">
        <v>114</v>
      </c>
    </row>
    <row r="11" spans="2:5">
      <c r="C11" s="67" t="s">
        <v>115</v>
      </c>
      <c r="E11" t="s">
        <v>116</v>
      </c>
    </row>
    <row r="12" spans="2:5">
      <c r="C12" s="21" t="s">
        <v>154</v>
      </c>
      <c r="E12" t="s">
        <v>155</v>
      </c>
    </row>
    <row r="13" spans="2:5">
      <c r="C13" s="21" t="s">
        <v>156</v>
      </c>
      <c r="E13" t="s">
        <v>157</v>
      </c>
    </row>
    <row r="14" spans="2:5">
      <c r="C14" s="68" t="s">
        <v>158</v>
      </c>
      <c r="E14" t="s">
        <v>159</v>
      </c>
    </row>
    <row r="15" spans="2:5">
      <c r="C15" s="68" t="s">
        <v>195</v>
      </c>
      <c r="E15" t="s">
        <v>197</v>
      </c>
    </row>
    <row r="16" spans="2:5">
      <c r="C16" s="68" t="s">
        <v>196</v>
      </c>
      <c r="E16" t="s">
        <v>198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  <pageSetUpPr fitToPage="1"/>
  </sheetPr>
  <dimension ref="A1:Y37"/>
  <sheetViews>
    <sheetView zoomScale="130" zoomScaleNormal="130" workbookViewId="0">
      <selection activeCell="X20" sqref="X20"/>
    </sheetView>
  </sheetViews>
  <sheetFormatPr defaultColWidth="8.85546875" defaultRowHeight="12.75"/>
  <cols>
    <col min="1" max="1" width="4.28515625" style="52" bestFit="1" customWidth="1"/>
    <col min="2" max="2" width="8.85546875" style="51"/>
    <col min="3" max="3" width="6.42578125" style="51" customWidth="1"/>
    <col min="4" max="4" width="7.5703125" style="51" customWidth="1"/>
    <col min="5" max="5" width="4" style="51" bestFit="1" customWidth="1"/>
    <col min="6" max="8" width="7" style="51" customWidth="1"/>
    <col min="9" max="9" width="4.85546875" style="51" customWidth="1"/>
    <col min="10" max="10" width="15" style="51" bestFit="1" customWidth="1"/>
    <col min="11" max="11" width="6.7109375" style="51" customWidth="1"/>
    <col min="12" max="12" width="6.7109375" style="51" bestFit="1" customWidth="1"/>
    <col min="13" max="13" width="6.28515625" style="51" bestFit="1" customWidth="1"/>
    <col min="14" max="14" width="6" style="51" customWidth="1"/>
    <col min="15" max="15" width="6.42578125" style="51" customWidth="1"/>
    <col min="16" max="16" width="6.140625" style="51" customWidth="1"/>
    <col min="17" max="17" width="6.42578125" style="51" customWidth="1"/>
    <col min="18" max="18" width="2.85546875" style="51" customWidth="1"/>
    <col min="19" max="19" width="15" style="51" bestFit="1" customWidth="1"/>
    <col min="20" max="20" width="4.28515625" style="51" bestFit="1" customWidth="1"/>
    <col min="21" max="21" width="6.28515625" style="51" bestFit="1" customWidth="1"/>
    <col min="22" max="22" width="6" style="51" bestFit="1" customWidth="1"/>
    <col min="23" max="23" width="6.42578125" style="51" bestFit="1" customWidth="1"/>
    <col min="24" max="24" width="6.140625" style="51" bestFit="1" customWidth="1"/>
    <col min="25" max="25" width="6.42578125" style="51" bestFit="1" customWidth="1"/>
    <col min="26" max="16384" width="8.85546875" style="51"/>
  </cols>
  <sheetData>
    <row r="1" spans="1:25" s="62" customFormat="1">
      <c r="A1" s="78" t="s">
        <v>152</v>
      </c>
      <c r="B1" s="79"/>
      <c r="C1" s="79"/>
      <c r="D1" s="79"/>
      <c r="E1" s="79"/>
      <c r="F1" s="79"/>
      <c r="G1" s="79"/>
      <c r="H1" s="79"/>
      <c r="J1" s="82" t="s">
        <v>151</v>
      </c>
      <c r="K1" s="82"/>
      <c r="L1" s="82"/>
      <c r="M1" s="82"/>
      <c r="N1" s="82"/>
      <c r="O1" s="82"/>
      <c r="P1" s="82"/>
      <c r="Q1" s="82"/>
      <c r="R1" s="58"/>
      <c r="S1" s="80" t="s">
        <v>183</v>
      </c>
      <c r="T1" s="80"/>
      <c r="U1" s="80"/>
      <c r="V1" s="80"/>
      <c r="W1" s="80"/>
      <c r="X1" s="80"/>
      <c r="Y1" s="81"/>
    </row>
    <row r="2" spans="1:25" ht="15.75">
      <c r="A2" s="57" t="s">
        <v>150</v>
      </c>
      <c r="B2" s="51" t="s">
        <v>149</v>
      </c>
      <c r="E2" s="52" t="s">
        <v>148</v>
      </c>
      <c r="F2" s="51" t="s">
        <v>147</v>
      </c>
      <c r="J2" s="55" t="s">
        <v>145</v>
      </c>
      <c r="K2" s="55" t="s">
        <v>162</v>
      </c>
      <c r="L2" s="55" t="s">
        <v>163</v>
      </c>
      <c r="M2" s="55" t="s">
        <v>164</v>
      </c>
      <c r="N2" s="65" t="s">
        <v>146</v>
      </c>
      <c r="O2" s="55" t="s">
        <v>166</v>
      </c>
      <c r="P2" s="55" t="s">
        <v>167</v>
      </c>
      <c r="Q2" s="55" t="s">
        <v>144</v>
      </c>
      <c r="R2" s="58"/>
      <c r="S2" s="55" t="s">
        <v>145</v>
      </c>
      <c r="T2" s="55" t="s">
        <v>162</v>
      </c>
      <c r="U2" s="55" t="s">
        <v>163</v>
      </c>
      <c r="V2" s="55" t="s">
        <v>164</v>
      </c>
      <c r="W2" s="55" t="s">
        <v>166</v>
      </c>
      <c r="X2" s="55" t="s">
        <v>167</v>
      </c>
      <c r="Y2" s="55" t="s">
        <v>144</v>
      </c>
    </row>
    <row r="3" spans="1:25" s="62" customFormat="1" ht="15.75">
      <c r="A3" s="57"/>
      <c r="B3" s="55" t="s">
        <v>168</v>
      </c>
      <c r="C3" s="61">
        <v>30</v>
      </c>
      <c r="D3" s="55" t="s">
        <v>143</v>
      </c>
      <c r="E3" s="51"/>
      <c r="F3" s="55" t="s">
        <v>165</v>
      </c>
      <c r="G3" s="55" t="s">
        <v>166</v>
      </c>
      <c r="H3" s="55" t="s">
        <v>167</v>
      </c>
      <c r="J3" s="59" t="s">
        <v>184</v>
      </c>
      <c r="K3" s="63">
        <v>223</v>
      </c>
      <c r="L3" s="63">
        <v>-2.2000000000000002</v>
      </c>
      <c r="M3" s="63">
        <v>7</v>
      </c>
      <c r="N3" s="69">
        <f>K3</f>
        <v>223</v>
      </c>
      <c r="O3" s="56">
        <f t="shared" ref="O3:O8" si="0">SUM($C$26:$C$28)*(1-ABS((N3-$C$21)/SUM($C$21:$C$23))^$C$29)</f>
        <v>129.79354071912098</v>
      </c>
      <c r="P3" s="56">
        <f t="shared" ref="P3:P8" si="1">SUM($G$26:$G$28)*(1-ABS((N3-$C$21)/SUM($C$21:$C$23))^$G$29)</f>
        <v>95.450450333298249</v>
      </c>
      <c r="Q3" s="53">
        <f t="shared" ref="Q3:Q20" si="2">ABS(L3/O3)^1.5+ABS(M3/P3)^1.5</f>
        <v>2.2066794995108791E-2</v>
      </c>
      <c r="R3" s="58"/>
      <c r="S3" s="55" t="str">
        <f>IF($Q3=MAX($Q$3,$Q$4),J3,J4)</f>
        <v>SLU</v>
      </c>
      <c r="T3" s="56">
        <f>IF($Q3=MAX($Q$3,$Q$4),N3,N4)</f>
        <v>215.8</v>
      </c>
      <c r="U3" s="54">
        <f>IF($Q3=MAX($Q$3,$Q$4),L3,L4)</f>
        <v>-5.3</v>
      </c>
      <c r="V3" s="54">
        <f>IF($Q3=MAX($Q$3,$Q$4),M3,M4)</f>
        <v>18.8</v>
      </c>
      <c r="W3" s="56">
        <f>IF($Q3=MAX($Q$3,$Q$4),O3,O4)</f>
        <v>128.70090501374406</v>
      </c>
      <c r="X3" s="56">
        <f>IF($Q3=MAX($Q$3,$Q$4),P3,P4)</f>
        <v>94.646923674339448</v>
      </c>
      <c r="Y3" s="53">
        <f>IF($Q3=MAX($Q$3,$Q$4),Q3,Q4)</f>
        <v>9.6884086308836118E-2</v>
      </c>
    </row>
    <row r="4" spans="1:25" ht="15.75">
      <c r="A4" s="57"/>
      <c r="B4" s="55" t="s">
        <v>169</v>
      </c>
      <c r="C4" s="61">
        <v>400</v>
      </c>
      <c r="D4" s="55" t="s">
        <v>143</v>
      </c>
      <c r="F4" s="56">
        <f>-(C22+C23)</f>
        <v>-502.6548245743669</v>
      </c>
      <c r="G4" s="56">
        <f t="shared" ref="G4:G13" si="3">SUM($C$26:$C$28)*(1-ABS((F4-$C$21)/SUM($C$21:$C$23))^$C$29)</f>
        <v>0</v>
      </c>
      <c r="H4" s="56">
        <f t="shared" ref="H4:H13" si="4">SUM($G$26:$G$28)*(1-ABS((F4-$C$21)/SUM($C$21:$C$23))^$G$29)</f>
        <v>0</v>
      </c>
      <c r="J4" s="59" t="s">
        <v>184</v>
      </c>
      <c r="K4" s="63">
        <v>-215.8</v>
      </c>
      <c r="L4" s="63">
        <v>-5.3</v>
      </c>
      <c r="M4" s="63">
        <v>18.8</v>
      </c>
      <c r="N4" s="69">
        <f>-K4</f>
        <v>215.8</v>
      </c>
      <c r="O4" s="56">
        <f t="shared" si="0"/>
        <v>128.70090501374406</v>
      </c>
      <c r="P4" s="56">
        <f t="shared" si="1"/>
        <v>94.646923674339448</v>
      </c>
      <c r="Q4" s="53">
        <f t="shared" si="2"/>
        <v>9.6884086308836118E-2</v>
      </c>
      <c r="R4" s="58"/>
      <c r="S4" s="55" t="str">
        <f>IF($Q5=MAX($Q$5,$Q$6),J5,J6)</f>
        <v>PILASTRI</v>
      </c>
      <c r="T4" s="56">
        <f>IF($Q5=MAX($Q$5,$Q$6),N5,N6)</f>
        <v>116.2</v>
      </c>
      <c r="U4" s="54">
        <f>IF($Q5=MAX($Q$5,$Q$6),L5,L6)</f>
        <v>24.919999999999998</v>
      </c>
      <c r="V4" s="54">
        <f>IF($Q5=MAX($Q$5,$Q$6),M5,M6)</f>
        <v>63.900000000000006</v>
      </c>
      <c r="W4" s="56">
        <f>IF($Q5=MAX($Q$5,$Q$6),O5,O6)</f>
        <v>113.17373906058047</v>
      </c>
      <c r="X4" s="56">
        <f>IF($Q5=MAX($Q$5,$Q$6),P5,P6)</f>
        <v>83.228212277625218</v>
      </c>
      <c r="Y4" s="53">
        <f>IF($Q5=MAX($Q$5,$Q$6),Q5,Q6)</f>
        <v>0.77606175070291639</v>
      </c>
    </row>
    <row r="5" spans="1:25">
      <c r="A5" s="57" t="s">
        <v>142</v>
      </c>
      <c r="B5" s="51" t="s">
        <v>141</v>
      </c>
      <c r="F5" s="56">
        <f>$F$4+($F$13-$F$4)/9</f>
        <v>9.0462475532702342</v>
      </c>
      <c r="G5" s="56">
        <f t="shared" si="3"/>
        <v>95.618774027712988</v>
      </c>
      <c r="H5" s="56">
        <f t="shared" si="4"/>
        <v>70.318253055550812</v>
      </c>
      <c r="J5" s="59" t="s">
        <v>185</v>
      </c>
      <c r="K5" s="63">
        <v>178</v>
      </c>
      <c r="L5" s="63">
        <v>30.560000000000002</v>
      </c>
      <c r="M5" s="63">
        <v>66</v>
      </c>
      <c r="N5" s="69">
        <f>K5</f>
        <v>178</v>
      </c>
      <c r="O5" s="56">
        <f t="shared" si="0"/>
        <v>122.89842729810184</v>
      </c>
      <c r="P5" s="56">
        <f t="shared" si="1"/>
        <v>90.379769022895502</v>
      </c>
      <c r="Q5" s="53">
        <f t="shared" si="2"/>
        <v>0.74803198104591173</v>
      </c>
      <c r="R5" s="58"/>
      <c r="S5" s="55" t="str">
        <f>IF($Q7=MAX($Q$7,$Q$8),J7,J8)</f>
        <v>PILASTRI</v>
      </c>
      <c r="T5" s="56">
        <f>IF($Q7=MAX($Q$7,$Q$8),N7,N8)</f>
        <v>121</v>
      </c>
      <c r="U5" s="54">
        <f>IF($Q7=MAX($Q$7,$Q$8),L7,L8)</f>
        <v>-35.68</v>
      </c>
      <c r="V5" s="54">
        <f>IF($Q7=MAX($Q$7,$Q$8),M7,M8)</f>
        <v>-49</v>
      </c>
      <c r="W5" s="56">
        <f>IF($Q7=MAX($Q$7,$Q$8),O7,O8)</f>
        <v>113.9395900925808</v>
      </c>
      <c r="X5" s="56">
        <f>IF($Q7=MAX($Q$7,$Q$8),P7,P8)</f>
        <v>83.791420781589565</v>
      </c>
      <c r="Y5" s="53">
        <f>IF($Q7=MAX($Q$7,$Q$8),Q7,Q8)</f>
        <v>0.62242957547501165</v>
      </c>
    </row>
    <row r="6" spans="1:25">
      <c r="A6" s="57"/>
      <c r="B6" s="55" t="s">
        <v>140</v>
      </c>
      <c r="C6" s="61">
        <v>3</v>
      </c>
      <c r="D6" s="55" t="s">
        <v>119</v>
      </c>
      <c r="F6" s="56">
        <f>$F$4+2*($F$13-$F$4)/9</f>
        <v>520.74731968090737</v>
      </c>
      <c r="G6" s="56">
        <f t="shared" si="3"/>
        <v>171.3838046619758</v>
      </c>
      <c r="H6" s="56">
        <f t="shared" si="4"/>
        <v>126.03602031491293</v>
      </c>
      <c r="J6" s="59" t="s">
        <v>185</v>
      </c>
      <c r="K6" s="63">
        <v>-116.2</v>
      </c>
      <c r="L6" s="63">
        <v>24.919999999999998</v>
      </c>
      <c r="M6" s="63">
        <v>63.900000000000006</v>
      </c>
      <c r="N6" s="69">
        <f>-K6</f>
        <v>116.2</v>
      </c>
      <c r="O6" s="56">
        <f t="shared" si="0"/>
        <v>113.17373906058047</v>
      </c>
      <c r="P6" s="56">
        <f t="shared" si="1"/>
        <v>83.228212277625218</v>
      </c>
      <c r="Q6" s="53">
        <f t="shared" si="2"/>
        <v>0.77606175070291639</v>
      </c>
      <c r="R6" s="58"/>
      <c r="S6" s="55" t="e">
        <f>IF($Q9=MAX($Q$9,$Q$10),J9,J10)</f>
        <v>#DIV/0!</v>
      </c>
      <c r="T6" s="56" t="e">
        <f>IF($Q9=MAX($Q$9,$Q$10),N9,N10)</f>
        <v>#DIV/0!</v>
      </c>
      <c r="U6" s="56" t="e">
        <f>IF($Q9=MAX($Q$9,$Q$10),L9,L10)</f>
        <v>#DIV/0!</v>
      </c>
      <c r="V6" s="56" t="e">
        <f>IF($Q9=MAX($Q$9,$Q$10),M9,M10)</f>
        <v>#DIV/0!</v>
      </c>
      <c r="W6" s="56" t="e">
        <f>IF($Q9=MAX($Q$9,$Q$10),O9,O10)</f>
        <v>#DIV/0!</v>
      </c>
      <c r="X6" s="56" t="e">
        <f>IF($Q9=MAX($Q$9,$Q$10),P9,P10)</f>
        <v>#DIV/0!</v>
      </c>
      <c r="Y6" s="53" t="e">
        <f>IF($Q9=MAX($Q$9,$Q$10),Q9,Q10)</f>
        <v>#DIV/0!</v>
      </c>
    </row>
    <row r="7" spans="1:25" s="62" customFormat="1">
      <c r="A7" s="57"/>
      <c r="B7" s="55" t="s">
        <v>139</v>
      </c>
      <c r="C7" s="61">
        <v>30</v>
      </c>
      <c r="D7" s="55" t="s">
        <v>134</v>
      </c>
      <c r="E7" s="51"/>
      <c r="F7" s="56">
        <f>$F$4+3*($F$13-$F$4)/9</f>
        <v>1032.4483918085443</v>
      </c>
      <c r="G7" s="56">
        <f t="shared" si="3"/>
        <v>225.60144196879344</v>
      </c>
      <c r="H7" s="56">
        <f t="shared" si="4"/>
        <v>165.90778795658872</v>
      </c>
      <c r="J7" s="59" t="s">
        <v>185</v>
      </c>
      <c r="K7" s="63">
        <v>121</v>
      </c>
      <c r="L7" s="63">
        <v>-35.68</v>
      </c>
      <c r="M7" s="63">
        <v>-49</v>
      </c>
      <c r="N7" s="69">
        <f>K7</f>
        <v>121</v>
      </c>
      <c r="O7" s="56">
        <f t="shared" si="0"/>
        <v>113.9395900925808</v>
      </c>
      <c r="P7" s="56">
        <f t="shared" si="1"/>
        <v>83.791420781589565</v>
      </c>
      <c r="Q7" s="53">
        <f t="shared" si="2"/>
        <v>0.62242957547501165</v>
      </c>
      <c r="R7" s="58"/>
      <c r="S7" s="55" t="e">
        <f>IF($Q11=MAX($Q$11,$Q$12),J11,J12)</f>
        <v>#DIV/0!</v>
      </c>
      <c r="T7" s="56" t="e">
        <f>IF($Q11=MAX($Q$11,$Q$12),N11,N12)</f>
        <v>#DIV/0!</v>
      </c>
      <c r="U7" s="56" t="e">
        <f>IF($Q11=MAX($Q$11,$Q$12),L11,L12)</f>
        <v>#DIV/0!</v>
      </c>
      <c r="V7" s="56" t="e">
        <f>IF($Q11=MAX($Q$11,$Q$12),M11,M12)</f>
        <v>#DIV/0!</v>
      </c>
      <c r="W7" s="56" t="e">
        <f>IF($Q11=MAX($Q$11,$Q$12),O11,O12)</f>
        <v>#DIV/0!</v>
      </c>
      <c r="X7" s="56" t="e">
        <f>IF($Q11=MAX($Q$11,$Q$12),P11,P12)</f>
        <v>#DIV/0!</v>
      </c>
      <c r="Y7" s="53" t="e">
        <f>IF($Q11=MAX($Q$11,$Q$12),Q11,Q12)</f>
        <v>#DIV/0!</v>
      </c>
    </row>
    <row r="8" spans="1:25" s="62" customFormat="1">
      <c r="A8" s="57"/>
      <c r="B8" s="55" t="s">
        <v>138</v>
      </c>
      <c r="C8" s="61">
        <v>40</v>
      </c>
      <c r="D8" s="55" t="s">
        <v>134</v>
      </c>
      <c r="E8" s="51"/>
      <c r="F8" s="56">
        <f>$F$4+4*($F$13-$F$4)/9</f>
        <v>1544.1494639361817</v>
      </c>
      <c r="G8" s="56">
        <f t="shared" si="3"/>
        <v>255.17261300371013</v>
      </c>
      <c r="H8" s="56">
        <f t="shared" si="4"/>
        <v>187.65449104001854</v>
      </c>
      <c r="J8" s="59" t="s">
        <v>185</v>
      </c>
      <c r="K8" s="63">
        <v>-173.1</v>
      </c>
      <c r="L8" s="63">
        <v>-35.839999999999996</v>
      </c>
      <c r="M8" s="63">
        <v>-29.099999999999998</v>
      </c>
      <c r="N8" s="69">
        <f>-K8</f>
        <v>173.1</v>
      </c>
      <c r="O8" s="56">
        <f t="shared" si="0"/>
        <v>122.13813863689691</v>
      </c>
      <c r="P8" s="56">
        <f t="shared" si="1"/>
        <v>89.820651098434567</v>
      </c>
      <c r="Q8" s="53">
        <f t="shared" si="2"/>
        <v>0.34336137406898604</v>
      </c>
      <c r="R8" s="58"/>
      <c r="S8" s="55" t="e">
        <f>IF($Q13=MAX($Q$13,$Q$14),J13,J14)</f>
        <v>#DIV/0!</v>
      </c>
      <c r="T8" s="56" t="e">
        <f>IF($Q13=MAX($Q$13,$Q$14),N13,N14)</f>
        <v>#DIV/0!</v>
      </c>
      <c r="U8" s="56" t="e">
        <f>IF($Q13=MAX($Q$13,$Q$14),L13,L14)</f>
        <v>#DIV/0!</v>
      </c>
      <c r="V8" s="56" t="e">
        <f>IF($Q13=MAX($Q$13,$Q$14),M13,M14)</f>
        <v>#DIV/0!</v>
      </c>
      <c r="W8" s="56" t="e">
        <f>IF($Q13=MAX($Q$13,$Q$14),O13,O14)</f>
        <v>#DIV/0!</v>
      </c>
      <c r="X8" s="56" t="e">
        <f>IF($Q13=MAX($Q$13,$Q$14),P13,P14)</f>
        <v>#DIV/0!</v>
      </c>
      <c r="Y8" s="53" t="e">
        <f>IF($Q13=MAX($Q$13,$Q$14),Q13,Q14)</f>
        <v>#DIV/0!</v>
      </c>
    </row>
    <row r="9" spans="1:25" s="62" customFormat="1" ht="15.75">
      <c r="A9" s="57"/>
      <c r="B9" s="55" t="s">
        <v>170</v>
      </c>
      <c r="C9" s="55">
        <f>C7*C8</f>
        <v>1200</v>
      </c>
      <c r="D9" s="55" t="s">
        <v>182</v>
      </c>
      <c r="E9" s="51"/>
      <c r="F9" s="56">
        <f>$F$4+5*($F$13-$F$4)/9</f>
        <v>2055.8505360638187</v>
      </c>
      <c r="G9" s="56">
        <f t="shared" si="3"/>
        <v>249.65757250629377</v>
      </c>
      <c r="H9" s="56">
        <f t="shared" si="4"/>
        <v>183.59871834001993</v>
      </c>
      <c r="J9" s="59"/>
      <c r="K9" s="63"/>
      <c r="L9" s="63"/>
      <c r="M9" s="63"/>
      <c r="N9" s="69"/>
      <c r="O9" s="56"/>
      <c r="P9" s="56"/>
      <c r="Q9" s="53" t="e">
        <f t="shared" si="2"/>
        <v>#DIV/0!</v>
      </c>
      <c r="R9" s="58"/>
      <c r="S9" s="55" t="e">
        <f>IF($Q15=MAX($Q$15,$Q$16),J15,J16)</f>
        <v>#DIV/0!</v>
      </c>
      <c r="T9" s="56" t="e">
        <f>IF($Q15=MAX($Q$15,$Q$16),N15,N16)</f>
        <v>#DIV/0!</v>
      </c>
      <c r="U9" s="56" t="e">
        <f>IF($Q15=MAX($Q$15,$Q$16),L15,L16)</f>
        <v>#DIV/0!</v>
      </c>
      <c r="V9" s="56" t="e">
        <f>IF($Q15=MAX($Q$15,$Q$16),M15,M16)</f>
        <v>#DIV/0!</v>
      </c>
      <c r="W9" s="56" t="e">
        <f>IF($Q15=MAX($Q$15,$Q$16),O15,O16)</f>
        <v>#DIV/0!</v>
      </c>
      <c r="X9" s="56" t="e">
        <f>IF($Q15=MAX($Q$15,$Q$16),P15,P16)</f>
        <v>#DIV/0!</v>
      </c>
      <c r="Y9" s="53" t="e">
        <f>IF($Q15=MAX($Q$15,$Q$16),Q15,Q16)</f>
        <v>#DIV/0!</v>
      </c>
    </row>
    <row r="10" spans="1:25">
      <c r="A10" s="64"/>
      <c r="B10" s="55" t="s">
        <v>137</v>
      </c>
      <c r="C10" s="54">
        <f>100*2*SUM(C16:C17)/C9</f>
        <v>1.0471975511965979</v>
      </c>
      <c r="D10" s="55" t="s">
        <v>136</v>
      </c>
      <c r="F10" s="56">
        <f>$F$4+6*($F$13-$F$4)/9</f>
        <v>2567.5516081914557</v>
      </c>
      <c r="G10" s="56">
        <f t="shared" si="3"/>
        <v>212.65777794662429</v>
      </c>
      <c r="H10" s="56">
        <f t="shared" si="4"/>
        <v>156.38898946296732</v>
      </c>
      <c r="J10" s="59"/>
      <c r="K10" s="63"/>
      <c r="L10" s="63"/>
      <c r="M10" s="63"/>
      <c r="N10" s="69"/>
      <c r="O10" s="56"/>
      <c r="P10" s="56"/>
      <c r="Q10" s="53" t="e">
        <f t="shared" si="2"/>
        <v>#DIV/0!</v>
      </c>
      <c r="R10" s="58"/>
      <c r="S10" s="55" t="e">
        <f>IF($Q17=MAX($Q$17,$Q$18),J17,J18)</f>
        <v>#DIV/0!</v>
      </c>
      <c r="T10" s="56" t="e">
        <f>IF($Q17=MAX($Q$17,$Q$18),N17,N18)</f>
        <v>#DIV/0!</v>
      </c>
      <c r="U10" s="56" t="e">
        <f>IF($Q17=MAX($Q$17,$Q$18),L17,L18)</f>
        <v>#DIV/0!</v>
      </c>
      <c r="V10" s="56" t="e">
        <f>IF($Q17=MAX($Q$17,$Q$18),M17,M18)</f>
        <v>#DIV/0!</v>
      </c>
      <c r="W10" s="56" t="e">
        <f>IF($Q17=MAX($Q$17,$Q$18),O17,O18)</f>
        <v>#DIV/0!</v>
      </c>
      <c r="X10" s="56" t="e">
        <f>IF($Q17=MAX($Q$17,$Q$18),P17,P18)</f>
        <v>#DIV/0!</v>
      </c>
      <c r="Y10" s="53" t="e">
        <f>IF($Q17=MAX($Q$17,$Q$18),Q17,Q18)</f>
        <v>#DIV/0!</v>
      </c>
    </row>
    <row r="11" spans="1:25" ht="12.75" customHeight="1">
      <c r="A11" s="57"/>
      <c r="B11" s="55" t="s">
        <v>135</v>
      </c>
      <c r="C11" s="63">
        <v>3</v>
      </c>
      <c r="D11" s="55" t="s">
        <v>134</v>
      </c>
      <c r="F11" s="56">
        <f>$F$4+7*($F$13-$F$4)/9</f>
        <v>3079.2526803190926</v>
      </c>
      <c r="G11" s="56">
        <f t="shared" si="3"/>
        <v>152.15350899460847</v>
      </c>
      <c r="H11" s="56">
        <f t="shared" si="4"/>
        <v>111.89401932377828</v>
      </c>
      <c r="J11" s="59"/>
      <c r="K11" s="63"/>
      <c r="L11" s="63"/>
      <c r="M11" s="63"/>
      <c r="N11" s="69"/>
      <c r="O11" s="56"/>
      <c r="P11" s="56"/>
      <c r="Q11" s="53" t="e">
        <f t="shared" si="2"/>
        <v>#DIV/0!</v>
      </c>
      <c r="R11" s="58"/>
      <c r="S11" s="55" t="e">
        <f>IF($Q19=MAX($Q$19,$Q$20),J19,J20)</f>
        <v>#DIV/0!</v>
      </c>
      <c r="T11" s="56" t="e">
        <f>IF($Q19=MAX($Q$19,$Q$20),N19,N20)</f>
        <v>#DIV/0!</v>
      </c>
      <c r="U11" s="56" t="e">
        <f>IF($Q19=MAX($Q$19,$Q$20),L19,L20)</f>
        <v>#DIV/0!</v>
      </c>
      <c r="V11" s="56" t="e">
        <f>IF($Q19=MAX($Q$19,$Q$20),M19,M20)</f>
        <v>#DIV/0!</v>
      </c>
      <c r="W11" s="56" t="e">
        <f>IF($Q19=MAX($Q$19,$Q$20),O19,O20)</f>
        <v>#DIV/0!</v>
      </c>
      <c r="X11" s="56" t="e">
        <f>IF($Q19=MAX($Q$19,$Q$20),P19,P20)</f>
        <v>#DIV/0!</v>
      </c>
      <c r="Y11" s="53" t="e">
        <f>IF($Q19=MAX($Q$19,$Q$20),Q19,Q20)</f>
        <v>#DIV/0!</v>
      </c>
    </row>
    <row r="12" spans="1:25">
      <c r="A12" s="57" t="s">
        <v>133</v>
      </c>
      <c r="B12" s="51" t="s">
        <v>132</v>
      </c>
      <c r="F12" s="56">
        <f>$F$4+8*($F$13-$F$4)/9</f>
        <v>3590.95375244673</v>
      </c>
      <c r="G12" s="56">
        <f t="shared" si="3"/>
        <v>70.661038098200663</v>
      </c>
      <c r="H12" s="56">
        <f t="shared" si="4"/>
        <v>51.964280118432654</v>
      </c>
      <c r="J12" s="59"/>
      <c r="K12" s="63"/>
      <c r="L12" s="63"/>
      <c r="M12" s="63"/>
      <c r="N12" s="69"/>
      <c r="O12" s="56"/>
      <c r="P12" s="56"/>
      <c r="Q12" s="53" t="e">
        <f t="shared" si="2"/>
        <v>#DIV/0!</v>
      </c>
      <c r="R12" s="58"/>
      <c r="Y12" s="62"/>
    </row>
    <row r="13" spans="1:25">
      <c r="A13" s="57"/>
      <c r="B13" s="55" t="s">
        <v>131</v>
      </c>
      <c r="C13" s="59">
        <v>2</v>
      </c>
      <c r="D13" s="53" t="s">
        <v>118</v>
      </c>
      <c r="F13" s="56">
        <f>-F4+C21/0.48</f>
        <v>4102.654824574367</v>
      </c>
      <c r="G13" s="56">
        <f t="shared" si="3"/>
        <v>-30.322370947297053</v>
      </c>
      <c r="H13" s="56">
        <f t="shared" si="4"/>
        <v>-22.299137122364073</v>
      </c>
      <c r="J13" s="59"/>
      <c r="K13" s="63"/>
      <c r="L13" s="63"/>
      <c r="M13" s="63"/>
      <c r="N13" s="69"/>
      <c r="O13" s="56"/>
      <c r="P13" s="56"/>
      <c r="Q13" s="53" t="e">
        <f t="shared" si="2"/>
        <v>#DIV/0!</v>
      </c>
      <c r="R13" s="58"/>
    </row>
    <row r="14" spans="1:25">
      <c r="A14" s="57"/>
      <c r="B14" s="55" t="s">
        <v>130</v>
      </c>
      <c r="C14" s="61">
        <v>2</v>
      </c>
      <c r="D14" s="53" t="s">
        <v>118</v>
      </c>
      <c r="J14" s="59"/>
      <c r="K14" s="63"/>
      <c r="L14" s="63"/>
      <c r="M14" s="63"/>
      <c r="N14" s="69"/>
      <c r="O14" s="56"/>
      <c r="P14" s="56"/>
      <c r="Q14" s="53" t="e">
        <f t="shared" si="2"/>
        <v>#DIV/0!</v>
      </c>
      <c r="R14" s="58"/>
    </row>
    <row r="15" spans="1:25">
      <c r="A15" s="57"/>
      <c r="B15" s="75" t="s">
        <v>160</v>
      </c>
      <c r="C15" s="61">
        <v>20</v>
      </c>
      <c r="D15" s="55" t="s">
        <v>129</v>
      </c>
      <c r="J15" s="59"/>
      <c r="K15" s="63"/>
      <c r="L15" s="63"/>
      <c r="M15" s="63"/>
      <c r="N15" s="69"/>
      <c r="O15" s="56"/>
      <c r="P15" s="56"/>
      <c r="Q15" s="53" t="e">
        <f t="shared" si="2"/>
        <v>#DIV/0!</v>
      </c>
      <c r="R15" s="58"/>
    </row>
    <row r="16" spans="1:25" ht="15.75">
      <c r="A16" s="57"/>
      <c r="B16" s="55" t="s">
        <v>171</v>
      </c>
      <c r="C16" s="53">
        <f>C14*PI()*(C15/10)^2/4</f>
        <v>6.2831853071795862</v>
      </c>
      <c r="D16" s="55" t="s">
        <v>182</v>
      </c>
      <c r="J16" s="59"/>
      <c r="K16" s="63"/>
      <c r="L16" s="63"/>
      <c r="M16" s="63"/>
      <c r="N16" s="69"/>
      <c r="O16" s="56"/>
      <c r="P16" s="56"/>
      <c r="Q16" s="53" t="e">
        <f t="shared" si="2"/>
        <v>#DIV/0!</v>
      </c>
      <c r="R16" s="58"/>
    </row>
    <row r="17" spans="1:18" ht="15.75">
      <c r="A17" s="57"/>
      <c r="B17" s="55" t="s">
        <v>172</v>
      </c>
      <c r="C17" s="53">
        <f>(C13-2)*PI()*(C15/10)^2/4</f>
        <v>0</v>
      </c>
      <c r="D17" s="55" t="s">
        <v>182</v>
      </c>
      <c r="J17" s="59"/>
      <c r="K17" s="63"/>
      <c r="L17" s="63"/>
      <c r="M17" s="63"/>
      <c r="N17" s="69"/>
      <c r="O17" s="56"/>
      <c r="P17" s="56"/>
      <c r="Q17" s="53" t="e">
        <f t="shared" si="2"/>
        <v>#DIV/0!</v>
      </c>
      <c r="R17" s="58"/>
    </row>
    <row r="18" spans="1:18" ht="15.75">
      <c r="A18" s="57"/>
      <c r="B18" s="55" t="s">
        <v>173</v>
      </c>
      <c r="C18" s="53">
        <f>C13*PI()*(C15/10)^2/4</f>
        <v>6.2831853071795862</v>
      </c>
      <c r="D18" s="55" t="s">
        <v>182</v>
      </c>
      <c r="J18" s="59"/>
      <c r="K18" s="63"/>
      <c r="L18" s="63"/>
      <c r="M18" s="63"/>
      <c r="N18" s="69"/>
      <c r="O18" s="56"/>
      <c r="P18" s="56"/>
      <c r="Q18" s="53" t="e">
        <f t="shared" si="2"/>
        <v>#DIV/0!</v>
      </c>
      <c r="R18" s="58"/>
    </row>
    <row r="19" spans="1:18" ht="15.75">
      <c r="B19" s="55" t="s">
        <v>174</v>
      </c>
      <c r="C19" s="53">
        <f>(C14-2)*PI()*(C15/10)^2/4</f>
        <v>0</v>
      </c>
      <c r="D19" s="55" t="s">
        <v>182</v>
      </c>
      <c r="F19" s="60" t="str">
        <f>"b="&amp;C7&amp;",H="&amp;C8&amp;","&amp;C13&amp;"f"&amp;C15&amp;"//H,"&amp;C14&amp;"f"&amp;C15&amp;"//b"</f>
        <v>b=30,H=40,2f20//H,2f20//b</v>
      </c>
      <c r="J19" s="59"/>
      <c r="K19" s="63"/>
      <c r="L19" s="63"/>
      <c r="M19" s="63"/>
      <c r="N19" s="69"/>
      <c r="O19" s="56"/>
      <c r="P19" s="56"/>
      <c r="Q19" s="53" t="e">
        <f t="shared" si="2"/>
        <v>#DIV/0!</v>
      </c>
      <c r="R19" s="58"/>
    </row>
    <row r="20" spans="1:18">
      <c r="A20" s="57" t="s">
        <v>126</v>
      </c>
      <c r="B20" s="51" t="s">
        <v>128</v>
      </c>
      <c r="J20" s="59"/>
      <c r="K20" s="63"/>
      <c r="L20" s="63"/>
      <c r="M20" s="63"/>
      <c r="N20" s="69"/>
      <c r="O20" s="56"/>
      <c r="P20" s="56"/>
      <c r="Q20" s="53" t="e">
        <f t="shared" si="2"/>
        <v>#DIV/0!</v>
      </c>
      <c r="R20" s="58"/>
    </row>
    <row r="21" spans="1:18" ht="15.75">
      <c r="A21" s="57"/>
      <c r="B21" s="55" t="s">
        <v>175</v>
      </c>
      <c r="C21" s="56">
        <f>0.48*C9*(C3/10)</f>
        <v>1728</v>
      </c>
      <c r="D21" s="53" t="s">
        <v>127</v>
      </c>
      <c r="F21" s="56">
        <f>0.48*C9*(C3/10)</f>
        <v>1728</v>
      </c>
      <c r="R21" s="58"/>
    </row>
    <row r="22" spans="1:18" ht="15.75">
      <c r="A22" s="57"/>
      <c r="B22" s="55" t="s">
        <v>176</v>
      </c>
      <c r="C22" s="56">
        <f>2*C16*C4/10</f>
        <v>502.6548245743669</v>
      </c>
      <c r="D22" s="53" t="s">
        <v>127</v>
      </c>
      <c r="F22" s="56">
        <f>2*C18*C4/10</f>
        <v>502.6548245743669</v>
      </c>
      <c r="J22" s="82" t="s">
        <v>161</v>
      </c>
      <c r="K22" s="82"/>
      <c r="L22" s="82"/>
      <c r="M22" s="82"/>
      <c r="N22" s="82"/>
      <c r="O22" s="82"/>
      <c r="P22" s="82"/>
      <c r="Q22" s="82"/>
      <c r="R22" s="58"/>
    </row>
    <row r="23" spans="1:18" ht="15.75">
      <c r="A23" s="57"/>
      <c r="B23" s="55" t="s">
        <v>177</v>
      </c>
      <c r="C23" s="56">
        <f>2*C17*C4/10</f>
        <v>0</v>
      </c>
      <c r="D23" s="53" t="s">
        <v>127</v>
      </c>
      <c r="F23" s="56">
        <f>2*C19*C4/10</f>
        <v>0</v>
      </c>
      <c r="J23" s="55" t="s">
        <v>162</v>
      </c>
      <c r="K23" s="55" t="s">
        <v>163</v>
      </c>
      <c r="L23" s="55" t="s">
        <v>164</v>
      </c>
      <c r="M23" s="70"/>
      <c r="N23" s="70"/>
      <c r="O23" s="70"/>
      <c r="P23" s="70"/>
      <c r="R23" s="58"/>
    </row>
    <row r="24" spans="1:18">
      <c r="A24" s="57" t="s">
        <v>126</v>
      </c>
      <c r="B24" s="51" t="s">
        <v>125</v>
      </c>
      <c r="C24" s="56"/>
      <c r="D24" s="53"/>
      <c r="J24" s="59">
        <v>500</v>
      </c>
      <c r="K24" s="59">
        <v>100</v>
      </c>
      <c r="L24" s="59">
        <v>100</v>
      </c>
      <c r="M24" s="70"/>
      <c r="N24" s="70"/>
      <c r="O24" s="70"/>
      <c r="P24" s="70"/>
    </row>
    <row r="25" spans="1:18" ht="15.75">
      <c r="A25" s="57" t="s">
        <v>124</v>
      </c>
      <c r="B25" s="51" t="s">
        <v>123</v>
      </c>
      <c r="E25" s="57" t="s">
        <v>122</v>
      </c>
      <c r="F25" s="51" t="s">
        <v>121</v>
      </c>
      <c r="J25" s="71"/>
      <c r="K25" s="55" t="s">
        <v>166</v>
      </c>
      <c r="L25" s="55" t="s">
        <v>167</v>
      </c>
      <c r="M25" s="70"/>
      <c r="N25" s="70"/>
      <c r="O25" s="70"/>
      <c r="P25" s="70"/>
    </row>
    <row r="26" spans="1:18" ht="15.75">
      <c r="A26" s="57"/>
      <c r="B26" s="55" t="s">
        <v>178</v>
      </c>
      <c r="C26" s="56">
        <f>0.12*(C7/100)*(C8/100)^2*C3*1000</f>
        <v>172.8</v>
      </c>
      <c r="D26" s="53" t="s">
        <v>120</v>
      </c>
      <c r="E26" s="52"/>
      <c r="F26" s="55" t="s">
        <v>178</v>
      </c>
      <c r="G26" s="56">
        <f>0.12*(C7/100)^2*(C8/100)*C3*1000</f>
        <v>129.6</v>
      </c>
      <c r="H26" s="53" t="s">
        <v>120</v>
      </c>
      <c r="J26" s="55" t="s">
        <v>181</v>
      </c>
      <c r="K26" s="72">
        <f>SUM($C$26:$C$28)*(1-ABS((J24-$C$21)/SUM($C$21:$C$23))^$C$29)</f>
        <v>168.71685945254146</v>
      </c>
      <c r="L26" s="72">
        <f>SUM($G$26:$G$28)*(1-ABS((J24-$C$21)/SUM($C$21:$C$23))^$G$29)</f>
        <v>124.07474304453149</v>
      </c>
    </row>
    <row r="27" spans="1:18" ht="15.75">
      <c r="A27" s="57"/>
      <c r="B27" s="55" t="s">
        <v>179</v>
      </c>
      <c r="C27" s="56">
        <f>C16*(C8-2*C11)/100*C4/10</f>
        <v>85.451320177642387</v>
      </c>
      <c r="D27" s="53" t="s">
        <v>120</v>
      </c>
      <c r="E27" s="52"/>
      <c r="F27" s="55" t="s">
        <v>179</v>
      </c>
      <c r="G27" s="56">
        <f>C18*(C7-2*C11)/100*C4/10</f>
        <v>60.318578948924028</v>
      </c>
      <c r="H27" s="53" t="s">
        <v>120</v>
      </c>
      <c r="J27" s="73">
        <v>0</v>
      </c>
      <c r="K27" s="74">
        <f t="shared" ref="K27:K37" si="5">J27*$K$26</f>
        <v>0</v>
      </c>
      <c r="L27" s="74">
        <f t="shared" ref="L27:L37" si="6">$L$26*(1-J27^(3/2))^(2/3)</f>
        <v>124.07474304453149</v>
      </c>
    </row>
    <row r="28" spans="1:18" ht="15.75">
      <c r="A28" s="57"/>
      <c r="B28" s="55" t="s">
        <v>180</v>
      </c>
      <c r="C28" s="56">
        <f>0.4*C17*(C8-2*C11)/100*C4/10</f>
        <v>0</v>
      </c>
      <c r="D28" s="53" t="s">
        <v>120</v>
      </c>
      <c r="E28" s="52"/>
      <c r="F28" s="55" t="s">
        <v>180</v>
      </c>
      <c r="G28" s="56">
        <f>0.4*C19*(C7-2*C11)/100*C4/10</f>
        <v>0</v>
      </c>
      <c r="H28" s="53" t="s">
        <v>120</v>
      </c>
      <c r="J28" s="73">
        <v>0.1</v>
      </c>
      <c r="K28" s="74">
        <f t="shared" si="5"/>
        <v>16.871685945254146</v>
      </c>
      <c r="L28" s="74">
        <f t="shared" si="6"/>
        <v>121.44503429912264</v>
      </c>
    </row>
    <row r="29" spans="1:18">
      <c r="B29" s="55" t="s">
        <v>119</v>
      </c>
      <c r="C29" s="54">
        <f>1+(C21+C23)/(C21+C22+C23)</f>
        <v>1.7746604185296668</v>
      </c>
      <c r="D29" s="53" t="s">
        <v>118</v>
      </c>
      <c r="E29" s="52"/>
      <c r="F29" s="55" t="s">
        <v>119</v>
      </c>
      <c r="G29" s="54">
        <f>1+(F21+F23)/(F21+F22+F23)</f>
        <v>1.7746604185296668</v>
      </c>
      <c r="H29" s="53" t="s">
        <v>118</v>
      </c>
      <c r="J29" s="73">
        <v>0.2</v>
      </c>
      <c r="K29" s="74">
        <f t="shared" si="5"/>
        <v>33.743371890508293</v>
      </c>
      <c r="L29" s="74">
        <f t="shared" si="6"/>
        <v>116.56143856186931</v>
      </c>
    </row>
    <row r="30" spans="1:18">
      <c r="J30" s="73">
        <v>0.3</v>
      </c>
      <c r="K30" s="74">
        <f t="shared" si="5"/>
        <v>50.615057835762435</v>
      </c>
      <c r="L30" s="74">
        <f t="shared" si="6"/>
        <v>110.08069853901486</v>
      </c>
    </row>
    <row r="31" spans="1:18">
      <c r="J31" s="73">
        <v>0.4</v>
      </c>
      <c r="K31" s="74">
        <f t="shared" si="5"/>
        <v>67.486743781016585</v>
      </c>
      <c r="L31" s="74">
        <f t="shared" si="6"/>
        <v>102.14975900937256</v>
      </c>
    </row>
    <row r="32" spans="1:18">
      <c r="J32" s="73">
        <v>0.5</v>
      </c>
      <c r="K32" s="74">
        <f t="shared" si="5"/>
        <v>84.358429726270728</v>
      </c>
      <c r="L32" s="74">
        <f t="shared" si="6"/>
        <v>92.762367817931988</v>
      </c>
    </row>
    <row r="33" spans="10:12">
      <c r="J33" s="73">
        <v>0.6</v>
      </c>
      <c r="K33" s="74">
        <f t="shared" si="5"/>
        <v>101.23011567152487</v>
      </c>
      <c r="L33" s="74">
        <f t="shared" si="6"/>
        <v>81.793132335412338</v>
      </c>
    </row>
    <row r="34" spans="10:12">
      <c r="J34" s="73">
        <v>0.7</v>
      </c>
      <c r="K34" s="74">
        <f t="shared" si="5"/>
        <v>118.10180161677901</v>
      </c>
      <c r="L34" s="74">
        <f t="shared" si="6"/>
        <v>68.958300306956644</v>
      </c>
    </row>
    <row r="35" spans="10:12">
      <c r="J35" s="73">
        <v>0.8</v>
      </c>
      <c r="K35" s="74">
        <f t="shared" si="5"/>
        <v>134.97348756203317</v>
      </c>
      <c r="L35" s="74">
        <f t="shared" si="6"/>
        <v>53.665568892947597</v>
      </c>
    </row>
    <row r="36" spans="10:12">
      <c r="J36" s="73">
        <v>0.9</v>
      </c>
      <c r="K36" s="74">
        <f t="shared" si="5"/>
        <v>151.84517350728731</v>
      </c>
      <c r="L36" s="74">
        <f t="shared" si="6"/>
        <v>34.431186497530241</v>
      </c>
    </row>
    <row r="37" spans="10:12">
      <c r="J37" s="73">
        <v>1</v>
      </c>
      <c r="K37" s="74">
        <f t="shared" si="5"/>
        <v>168.71685945254146</v>
      </c>
      <c r="L37" s="74">
        <f t="shared" si="6"/>
        <v>0</v>
      </c>
    </row>
  </sheetData>
  <mergeCells count="4">
    <mergeCell ref="A1:H1"/>
    <mergeCell ref="S1:Y1"/>
    <mergeCell ref="J1:Q1"/>
    <mergeCell ref="J22:Q22"/>
  </mergeCells>
  <conditionalFormatting sqref="Q3:Q20">
    <cfRule type="expression" dxfId="9" priority="9" stopIfTrue="1">
      <formula>"&gt;1"</formula>
    </cfRule>
  </conditionalFormatting>
  <conditionalFormatting sqref="Q3:Q20">
    <cfRule type="cellIs" dxfId="8" priority="8" stopIfTrue="1" operator="greaterThan">
      <formula>1</formula>
    </cfRule>
  </conditionalFormatting>
  <conditionalFormatting sqref="Q3:Q20">
    <cfRule type="cellIs" dxfId="7" priority="7" stopIfTrue="1" operator="lessThan">
      <formula>1</formula>
    </cfRule>
  </conditionalFormatting>
  <conditionalFormatting sqref="Y3:Y4 Y6:Y11">
    <cfRule type="expression" dxfId="6" priority="6" stopIfTrue="1">
      <formula>"&gt;1"</formula>
    </cfRule>
  </conditionalFormatting>
  <conditionalFormatting sqref="Y3:Y4 Y6:Y11">
    <cfRule type="cellIs" dxfId="5" priority="5" stopIfTrue="1" operator="greaterThan">
      <formula>1</formula>
    </cfRule>
  </conditionalFormatting>
  <conditionalFormatting sqref="Y3:Y4 Y6:Y11">
    <cfRule type="cellIs" dxfId="4" priority="4" stopIfTrue="1" operator="lessThan">
      <formula>1</formula>
    </cfRule>
  </conditionalFormatting>
  <conditionalFormatting sqref="Y5">
    <cfRule type="expression" dxfId="3" priority="3" stopIfTrue="1">
      <formula>"&gt;1"</formula>
    </cfRule>
  </conditionalFormatting>
  <conditionalFormatting sqref="Y5">
    <cfRule type="cellIs" dxfId="2" priority="2" stopIfTrue="1" operator="greaterThan">
      <formula>1</formula>
    </cfRule>
  </conditionalFormatting>
  <conditionalFormatting sqref="Y5">
    <cfRule type="cellIs" dxfId="1" priority="1" stopIfTrue="1" operator="lessThan">
      <formula>1</formula>
    </cfRule>
  </conditionalFormatting>
  <pageMargins left="0.75000000000000011" right="0.75000000000000011" top="1" bottom="1" header="0.5" footer="0.5"/>
  <pageSetup scale="6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:AF129"/>
  <sheetViews>
    <sheetView zoomScale="85" zoomScaleNormal="85" workbookViewId="0">
      <selection activeCell="I5" sqref="I5"/>
    </sheetView>
  </sheetViews>
  <sheetFormatPr defaultRowHeight="15"/>
  <cols>
    <col min="2" max="2" width="9" style="1"/>
    <col min="6" max="6" width="11" customWidth="1"/>
    <col min="7" max="7" width="6.42578125" bestFit="1" customWidth="1"/>
    <col min="8" max="8" width="7.7109375" bestFit="1" customWidth="1"/>
    <col min="9" max="9" width="7.28515625" bestFit="1" customWidth="1"/>
    <col min="10" max="10" width="7.5703125" bestFit="1" customWidth="1"/>
    <col min="11" max="11" width="7.140625" bestFit="1" customWidth="1"/>
    <col min="12" max="12" width="7.85546875" bestFit="1" customWidth="1"/>
  </cols>
  <sheetData>
    <row r="1" spans="1:32" s="34" customFormat="1" ht="18.75">
      <c r="A1" s="32" t="s">
        <v>43</v>
      </c>
      <c r="B1" s="33"/>
    </row>
    <row r="3" spans="1:32">
      <c r="A3" s="30" t="s">
        <v>44</v>
      </c>
      <c r="B3" s="31"/>
      <c r="C3" s="30" t="s">
        <v>46</v>
      </c>
      <c r="F3" s="25"/>
      <c r="G3" s="26" t="s">
        <v>50</v>
      </c>
      <c r="H3" s="26" t="s">
        <v>49</v>
      </c>
      <c r="I3" s="26" t="s">
        <v>47</v>
      </c>
      <c r="J3" s="26" t="s">
        <v>48</v>
      </c>
    </row>
    <row r="4" spans="1:32" ht="18">
      <c r="A4" s="2" t="s">
        <v>16</v>
      </c>
      <c r="B4" s="3">
        <v>40</v>
      </c>
      <c r="C4" s="9" t="s">
        <v>36</v>
      </c>
      <c r="D4" s="3">
        <v>30</v>
      </c>
      <c r="F4" s="2" t="s">
        <v>40</v>
      </c>
      <c r="G4" s="1"/>
      <c r="H4" s="23">
        <f>D5/2</f>
        <v>25</v>
      </c>
      <c r="I4" s="23">
        <f>(-D9+SQRT(D9^2+4*D9*D8))/2</f>
        <v>8.0564235687297252</v>
      </c>
      <c r="J4" s="23">
        <f>D6*B9/(0.8*D4*B4)</f>
        <v>2.0833333333333335</v>
      </c>
    </row>
    <row r="5" spans="1:32" ht="18">
      <c r="A5" s="2" t="s">
        <v>55</v>
      </c>
      <c r="B5" s="3">
        <v>2</v>
      </c>
      <c r="C5" s="9" t="s">
        <v>37</v>
      </c>
      <c r="D5" s="3">
        <v>50</v>
      </c>
      <c r="F5" s="2" t="s">
        <v>54</v>
      </c>
      <c r="H5" s="27">
        <f>H4/$D$8</f>
        <v>0.53191489361702127</v>
      </c>
      <c r="I5" s="27">
        <f>I4/$D$8</f>
        <v>0.17141326741978138</v>
      </c>
      <c r="J5" s="27">
        <f>J4/$D$8</f>
        <v>4.4326241134751775E-2</v>
      </c>
    </row>
    <row r="6" spans="1:32" ht="18.75">
      <c r="A6" s="9" t="s">
        <v>23</v>
      </c>
      <c r="B6" s="3">
        <v>3.5000000000000001E-3</v>
      </c>
      <c r="C6" s="2" t="s">
        <v>38</v>
      </c>
      <c r="D6" s="3">
        <v>5</v>
      </c>
      <c r="F6" s="2" t="s">
        <v>41</v>
      </c>
      <c r="G6" s="1"/>
      <c r="H6" s="23">
        <f>2*D5/3</f>
        <v>33.333333333333336</v>
      </c>
      <c r="I6" s="23">
        <f>D8-I4/3</f>
        <v>44.314525477090093</v>
      </c>
      <c r="J6" s="23">
        <f>D8-0.4*J4</f>
        <v>46.166666666666664</v>
      </c>
      <c r="L6" s="9" t="s">
        <v>58</v>
      </c>
      <c r="M6" s="9" t="s">
        <v>59</v>
      </c>
      <c r="P6" s="9"/>
    </row>
    <row r="7" spans="1:32" ht="18">
      <c r="A7" s="2" t="s">
        <v>52</v>
      </c>
      <c r="B7" s="1">
        <f>B4</f>
        <v>40</v>
      </c>
      <c r="C7" s="9" t="s">
        <v>56</v>
      </c>
      <c r="D7" s="3">
        <v>3</v>
      </c>
      <c r="F7" s="9" t="s">
        <v>42</v>
      </c>
      <c r="G7" s="6">
        <v>0</v>
      </c>
      <c r="H7" s="6">
        <f>2*B5/((B7*1000)*(D5/100))</f>
        <v>2.0000000000000001E-4</v>
      </c>
      <c r="I7" s="6">
        <f>B9/(B11*1000)/((D8-I4)/100)</f>
        <v>5.1356351503301402E-3</v>
      </c>
      <c r="J7" s="6">
        <f>MIN(L7,M7)</f>
        <v>0.13358070500927643</v>
      </c>
      <c r="L7">
        <f>B6/(J4/100)</f>
        <v>0.16799999999999998</v>
      </c>
      <c r="M7" s="24">
        <f>B10/((D8-J4)/100)</f>
        <v>0.13358070500927643</v>
      </c>
      <c r="P7" s="24"/>
    </row>
    <row r="8" spans="1:32">
      <c r="A8" s="30" t="s">
        <v>45</v>
      </c>
      <c r="B8"/>
      <c r="C8" s="9" t="s">
        <v>39</v>
      </c>
      <c r="D8" s="13">
        <f>D5-D7</f>
        <v>47</v>
      </c>
      <c r="F8" s="9" t="s">
        <v>21</v>
      </c>
      <c r="G8" s="7">
        <v>0</v>
      </c>
      <c r="H8" s="7">
        <f>(D4/100)*(D5/100)^2/6*B5*1000</f>
        <v>24.999999999999996</v>
      </c>
      <c r="I8" s="7">
        <f>D6*(B9/10)*(I6/100)</f>
        <v>88.629050954180187</v>
      </c>
      <c r="J8" s="7">
        <f>D6*(B9/10)*(J6/100)</f>
        <v>92.333333333333329</v>
      </c>
      <c r="Y8" s="19" t="s">
        <v>65</v>
      </c>
      <c r="AA8" s="19" t="s">
        <v>64</v>
      </c>
      <c r="AB8" s="14"/>
      <c r="AC8" s="19" t="s">
        <v>66</v>
      </c>
      <c r="AD8" s="19"/>
      <c r="AE8" s="19"/>
      <c r="AF8" s="19"/>
    </row>
    <row r="9" spans="1:32" ht="18">
      <c r="A9" s="2" t="s">
        <v>15</v>
      </c>
      <c r="B9" s="3">
        <v>400</v>
      </c>
      <c r="C9" s="9" t="s">
        <v>51</v>
      </c>
      <c r="D9" s="5">
        <f>2*B12*D6/D4</f>
        <v>1.6666666666666667</v>
      </c>
      <c r="Y9" s="11">
        <v>0</v>
      </c>
      <c r="Z9" s="12">
        <v>2.3592456113719082E-15</v>
      </c>
      <c r="AA9" s="11">
        <v>0</v>
      </c>
      <c r="AB9" s="12">
        <v>7.8641520379063585E-16</v>
      </c>
      <c r="AC9" s="11">
        <v>0</v>
      </c>
      <c r="AD9" s="12">
        <v>-7.8641520379063969E-16</v>
      </c>
      <c r="AE9" s="11"/>
      <c r="AF9" s="12"/>
    </row>
    <row r="10" spans="1:32" ht="16.5">
      <c r="A10" s="9" t="s">
        <v>34</v>
      </c>
      <c r="B10" s="3">
        <v>0.06</v>
      </c>
      <c r="F10" s="9" t="s">
        <v>57</v>
      </c>
      <c r="G10" s="7">
        <f>J7/I7</f>
        <v>26.01055197635862</v>
      </c>
      <c r="V10" s="19" t="s">
        <v>62</v>
      </c>
      <c r="Y10" s="11">
        <v>1E-3</v>
      </c>
      <c r="Z10" s="12">
        <v>20.794225201332345</v>
      </c>
      <c r="AA10" s="11">
        <v>1E-3</v>
      </c>
      <c r="AB10" s="12">
        <v>20.254771482787501</v>
      </c>
      <c r="AC10" s="11">
        <v>1E-3</v>
      </c>
      <c r="AD10" s="12">
        <v>20.966830293218521</v>
      </c>
      <c r="AE10" s="11"/>
      <c r="AF10" s="12"/>
    </row>
    <row r="11" spans="1:32" ht="18">
      <c r="A11" s="2" t="s">
        <v>14</v>
      </c>
      <c r="B11" s="3">
        <v>200</v>
      </c>
      <c r="Q11" s="9" t="s">
        <v>42</v>
      </c>
      <c r="R11">
        <v>0</v>
      </c>
      <c r="S11" s="28">
        <v>2.6666666666666668E-4</v>
      </c>
      <c r="T11" s="28">
        <v>5.1988860902675155E-3</v>
      </c>
      <c r="U11" s="28">
        <v>0.10031847133757962</v>
      </c>
      <c r="V11" s="19" t="s">
        <v>60</v>
      </c>
      <c r="Y11" s="11">
        <v>2E-3</v>
      </c>
      <c r="Z11" s="12">
        <v>41.465742184157669</v>
      </c>
      <c r="AA11" s="11">
        <v>2E-3</v>
      </c>
      <c r="AB11" s="12">
        <v>40.434702667363666</v>
      </c>
      <c r="AC11" s="11">
        <v>2E-3</v>
      </c>
      <c r="AD11" s="12">
        <v>41.795546684310821</v>
      </c>
      <c r="AE11" s="11"/>
      <c r="AF11" s="12"/>
    </row>
    <row r="12" spans="1:32" ht="18">
      <c r="A12" s="2" t="s">
        <v>53</v>
      </c>
      <c r="B12" s="1">
        <f>B11/B7</f>
        <v>5</v>
      </c>
      <c r="Q12" s="9" t="s">
        <v>21</v>
      </c>
      <c r="R12">
        <v>0</v>
      </c>
      <c r="S12" s="29">
        <v>24.999999999999996</v>
      </c>
      <c r="T12" s="29">
        <v>109.38745567008502</v>
      </c>
      <c r="U12" s="29">
        <v>114.55836444444446</v>
      </c>
      <c r="Y12" s="11">
        <v>3.0000000000000001E-3</v>
      </c>
      <c r="Z12" s="12">
        <v>62.006057134870844</v>
      </c>
      <c r="AA12" s="11">
        <v>3.0000000000000001E-3</v>
      </c>
      <c r="AB12" s="12">
        <v>60.533893880112132</v>
      </c>
      <c r="AC12" s="11">
        <v>3.0000000000000001E-3</v>
      </c>
      <c r="AD12" s="12">
        <v>62.476637974451933</v>
      </c>
      <c r="AE12" s="11"/>
      <c r="AF12" s="12"/>
    </row>
    <row r="13" spans="1:32">
      <c r="Q13" s="9" t="s">
        <v>42</v>
      </c>
      <c r="R13">
        <v>0</v>
      </c>
      <c r="S13" s="28">
        <v>2.6666666666666668E-4</v>
      </c>
      <c r="T13" s="28">
        <v>5.4960518014559347E-3</v>
      </c>
      <c r="U13" s="28">
        <v>6.6878980891719744E-2</v>
      </c>
      <c r="V13" s="19" t="str">
        <f>"+50% As"</f>
        <v>+50% As</v>
      </c>
      <c r="Y13" s="11">
        <v>4.0000000000000001E-3</v>
      </c>
      <c r="Z13" s="12">
        <v>82.404837037355776</v>
      </c>
      <c r="AA13" s="11">
        <v>4.0000000000000001E-3</v>
      </c>
      <c r="AB13" s="12">
        <v>80.54570798543628</v>
      </c>
      <c r="AC13" s="11">
        <v>4.0000000000000001E-3</v>
      </c>
      <c r="AD13" s="12">
        <v>82.998585794713733</v>
      </c>
      <c r="AE13" s="11"/>
      <c r="AF13" s="12"/>
    </row>
    <row r="14" spans="1:32">
      <c r="Q14" s="9" t="s">
        <v>21</v>
      </c>
      <c r="R14">
        <v>0</v>
      </c>
      <c r="S14" s="29">
        <v>24.999999999999996</v>
      </c>
      <c r="T14" s="29">
        <v>161.59308303642985</v>
      </c>
      <c r="U14" s="29">
        <v>169.20832000000001</v>
      </c>
      <c r="Y14" s="11">
        <v>5.0000000000000001E-3</v>
      </c>
      <c r="Z14" s="12">
        <v>102.65098351145907</v>
      </c>
      <c r="AA14" s="11">
        <v>5.0000000000000001E-3</v>
      </c>
      <c r="AB14" s="12">
        <v>100.46236149480004</v>
      </c>
      <c r="AC14" s="11">
        <v>5.0000000000000001E-3</v>
      </c>
      <c r="AD14" s="12">
        <v>103.34893753970053</v>
      </c>
      <c r="AE14" s="11"/>
      <c r="AF14" s="12"/>
    </row>
    <row r="15" spans="1:32">
      <c r="Q15" s="9" t="s">
        <v>42</v>
      </c>
      <c r="R15">
        <v>0</v>
      </c>
      <c r="S15" s="28">
        <v>2.2222222222222223E-4</v>
      </c>
      <c r="T15" s="28">
        <v>4.1901736169269403E-3</v>
      </c>
      <c r="U15" s="28">
        <v>9.3438538205980068E-2</v>
      </c>
      <c r="V15" s="19" t="str">
        <f>"+20% H"</f>
        <v>+20% H</v>
      </c>
      <c r="Y15" s="11">
        <v>6.0000000000000001E-3</v>
      </c>
      <c r="Z15" s="12">
        <v>108.35834813539154</v>
      </c>
      <c r="AA15" s="11">
        <v>6.0000000000000001E-3</v>
      </c>
      <c r="AB15" s="12">
        <v>105.50405238200142</v>
      </c>
      <c r="AC15" s="11">
        <v>6.0000000000000001E-3</v>
      </c>
      <c r="AD15" s="12">
        <v>109.26699567102564</v>
      </c>
      <c r="AE15" s="11"/>
      <c r="AF15" s="12"/>
    </row>
    <row r="16" spans="1:32">
      <c r="Q16" s="9" t="s">
        <v>21</v>
      </c>
      <c r="R16">
        <v>0</v>
      </c>
      <c r="S16" s="29">
        <v>36</v>
      </c>
      <c r="T16" s="29">
        <v>133.51935442707369</v>
      </c>
      <c r="U16" s="29">
        <v>139.67836444444447</v>
      </c>
      <c r="Y16" s="11">
        <v>7.0000000000000001E-3</v>
      </c>
      <c r="Z16" s="12">
        <v>108.82939051677442</v>
      </c>
      <c r="AA16" s="11">
        <v>7.0000000000000001E-3</v>
      </c>
      <c r="AB16" s="12">
        <v>105.50405342446504</v>
      </c>
      <c r="AC16" s="11">
        <v>7.0000000000000001E-3</v>
      </c>
      <c r="AD16" s="12">
        <v>109.88086546038674</v>
      </c>
      <c r="AE16" s="11"/>
      <c r="AF16" s="12"/>
    </row>
    <row r="17" spans="17:32">
      <c r="Q17" s="9" t="s">
        <v>42</v>
      </c>
      <c r="R17">
        <v>0</v>
      </c>
      <c r="S17" s="28">
        <v>2.6666666666666668E-4</v>
      </c>
      <c r="T17" s="28">
        <v>6.4986076128343952E-3</v>
      </c>
      <c r="U17" s="28">
        <v>8.0254777070063704E-2</v>
      </c>
      <c r="V17" s="19" t="str">
        <f>"+25% fy"</f>
        <v>+25% fy</v>
      </c>
      <c r="Y17" s="11">
        <v>8.0000000000000002E-3</v>
      </c>
      <c r="Z17" s="12">
        <v>109.29816259085536</v>
      </c>
      <c r="AA17" s="11">
        <v>8.0000000000000002E-3</v>
      </c>
      <c r="AB17" s="12">
        <v>105.50402455004985</v>
      </c>
      <c r="AC17" s="11">
        <v>8.0000000000000002E-3</v>
      </c>
      <c r="AD17" s="12">
        <v>110.32029117898904</v>
      </c>
      <c r="AE17" s="11"/>
      <c r="AF17" s="12"/>
    </row>
    <row r="18" spans="17:32">
      <c r="Q18" s="9" t="s">
        <v>21</v>
      </c>
      <c r="R18">
        <v>0</v>
      </c>
      <c r="S18" s="29">
        <v>24.999999999999996</v>
      </c>
      <c r="T18" s="29">
        <v>137</v>
      </c>
      <c r="U18" s="29">
        <v>142.10244444444444</v>
      </c>
      <c r="Y18" s="11">
        <v>9.0000000000000011E-3</v>
      </c>
      <c r="Z18" s="12">
        <v>109.76443362196287</v>
      </c>
      <c r="AA18" s="11">
        <v>9.0000000000000011E-3</v>
      </c>
      <c r="AB18" s="12">
        <v>105.50400886588957</v>
      </c>
      <c r="AC18" s="11">
        <v>9.0000000000000011E-3</v>
      </c>
      <c r="AD18" s="12">
        <v>110.73858116861926</v>
      </c>
      <c r="AE18" s="11"/>
      <c r="AF18" s="12"/>
    </row>
    <row r="19" spans="17:32">
      <c r="Y19" s="11">
        <v>0.01</v>
      </c>
      <c r="Z19" s="12">
        <v>110.22787613192821</v>
      </c>
      <c r="AA19" s="11">
        <v>0.01</v>
      </c>
      <c r="AB19" s="12">
        <v>105.50400198082617</v>
      </c>
      <c r="AC19" s="11">
        <v>0.01</v>
      </c>
      <c r="AD19" s="12">
        <v>111.03525152998148</v>
      </c>
      <c r="AE19" s="11"/>
      <c r="AF19" s="12"/>
    </row>
    <row r="20" spans="17:32">
      <c r="Y20" s="11">
        <v>1.0999999999999999E-2</v>
      </c>
      <c r="Z20" s="12">
        <v>110.68816007228899</v>
      </c>
      <c r="AA20" s="11">
        <v>1.0999999999999999E-2</v>
      </c>
      <c r="AB20" s="12">
        <v>105.50400010022788</v>
      </c>
      <c r="AC20" s="11">
        <v>1.0999999999999999E-2</v>
      </c>
      <c r="AD20" s="12">
        <v>111.32998050054994</v>
      </c>
      <c r="AE20" s="11"/>
      <c r="AF20" s="12"/>
    </row>
    <row r="21" spans="17:32">
      <c r="Y21" s="11">
        <v>1.2E-2</v>
      </c>
      <c r="Z21" s="12">
        <v>111.14495233091377</v>
      </c>
      <c r="AA21" s="11">
        <v>1.2E-2</v>
      </c>
      <c r="AB21" s="12">
        <v>105.50419480454485</v>
      </c>
      <c r="AC21" s="11">
        <v>1.2E-2</v>
      </c>
      <c r="AD21" s="12">
        <v>111.58860888299509</v>
      </c>
      <c r="AE21" s="11"/>
      <c r="AF21" s="12"/>
    </row>
    <row r="22" spans="17:32">
      <c r="Y22" s="11">
        <v>1.3000000000000001E-2</v>
      </c>
      <c r="Z22" s="12">
        <v>111.59793417353185</v>
      </c>
      <c r="AA22" s="11">
        <v>1.3000000000000001E-2</v>
      </c>
      <c r="AB22" s="12">
        <v>105.50399993215399</v>
      </c>
      <c r="AC22" s="11">
        <v>1.3000000000000001E-2</v>
      </c>
      <c r="AD22" s="12">
        <v>111.77630933358617</v>
      </c>
      <c r="AE22" s="11"/>
      <c r="AF22" s="12"/>
    </row>
    <row r="23" spans="17:32">
      <c r="Y23" s="11">
        <v>1.4E-2</v>
      </c>
      <c r="Z23" s="12">
        <v>111.78400071757309</v>
      </c>
      <c r="AA23" s="11">
        <v>1.4E-2</v>
      </c>
      <c r="AB23" s="12">
        <v>105.50399993606283</v>
      </c>
      <c r="AC23" s="11">
        <v>1.4E-2</v>
      </c>
      <c r="AD23" s="12">
        <v>111.96270745287285</v>
      </c>
      <c r="AE23" s="11"/>
      <c r="AF23" s="12"/>
    </row>
    <row r="24" spans="17:32">
      <c r="Y24" s="11">
        <v>1.4999999999999999E-2</v>
      </c>
      <c r="Z24" s="12">
        <v>111.78415206003092</v>
      </c>
      <c r="AA24" s="11">
        <v>1.4999999999999999E-2</v>
      </c>
      <c r="AB24" s="12">
        <v>105.50399993978134</v>
      </c>
      <c r="AC24" s="11">
        <v>1.4999999999999999E-2</v>
      </c>
      <c r="AD24" s="12">
        <v>112.14769411806134</v>
      </c>
      <c r="AE24" s="11"/>
      <c r="AF24" s="12"/>
    </row>
    <row r="25" spans="17:32">
      <c r="Y25" s="11">
        <v>1.6E-2</v>
      </c>
      <c r="Z25" s="12">
        <v>111.78400025164146</v>
      </c>
      <c r="AA25" s="11">
        <v>1.6E-2</v>
      </c>
      <c r="AB25" s="12">
        <v>105.50399994332042</v>
      </c>
      <c r="AC25" s="11">
        <v>1.6E-2</v>
      </c>
      <c r="AD25" s="12">
        <v>112.33119575843972</v>
      </c>
      <c r="AE25" s="11"/>
      <c r="AF25" s="12"/>
    </row>
    <row r="26" spans="17:32">
      <c r="Y26" s="11">
        <v>1.7000000000000001E-2</v>
      </c>
      <c r="Z26" s="12">
        <v>111.78400011246008</v>
      </c>
      <c r="AA26" s="11">
        <v>1.7000000000000001E-2</v>
      </c>
      <c r="AB26" s="12">
        <v>105.50399994668712</v>
      </c>
      <c r="AC26" s="11">
        <v>1.7000000000000001E-2</v>
      </c>
      <c r="AD26" s="12">
        <v>112.44711964464625</v>
      </c>
      <c r="AE26" s="11"/>
      <c r="AF26" s="12"/>
    </row>
    <row r="27" spans="17:32">
      <c r="Y27" s="11">
        <v>1.8000000000000002E-2</v>
      </c>
      <c r="Z27" s="12">
        <v>111.78399957918631</v>
      </c>
      <c r="AA27" s="11">
        <v>1.8000000000000002E-2</v>
      </c>
      <c r="AB27" s="12">
        <v>105.50399994988798</v>
      </c>
      <c r="AC27" s="11">
        <v>1.8000000000000002E-2</v>
      </c>
      <c r="AD27" s="12">
        <v>112.55494622687053</v>
      </c>
      <c r="AE27" s="11"/>
      <c r="AF27" s="12"/>
    </row>
    <row r="28" spans="17:32">
      <c r="Y28" s="11">
        <v>1.9E-2</v>
      </c>
      <c r="Z28" s="12">
        <v>111.78399960490154</v>
      </c>
      <c r="AA28" s="11">
        <v>1.9E-2</v>
      </c>
      <c r="AB28" s="12">
        <v>105.50399995292953</v>
      </c>
      <c r="AC28" s="11">
        <v>1.9E-2</v>
      </c>
      <c r="AD28" s="12">
        <v>112.66186938894907</v>
      </c>
      <c r="AE28" s="11"/>
      <c r="AF28" s="12"/>
    </row>
    <row r="29" spans="17:32">
      <c r="Y29" s="11">
        <v>0.02</v>
      </c>
      <c r="Z29" s="12">
        <v>111.78399962930041</v>
      </c>
      <c r="AA29" s="11">
        <v>0.02</v>
      </c>
      <c r="AB29" s="12">
        <v>105.5039999558181</v>
      </c>
      <c r="AC29" s="11">
        <v>0.02</v>
      </c>
      <c r="AD29" s="12">
        <v>112.76785752216442</v>
      </c>
      <c r="AE29" s="11"/>
      <c r="AF29" s="12"/>
    </row>
    <row r="30" spans="17:32">
      <c r="Y30" s="11">
        <v>2.1000000000000001E-2</v>
      </c>
      <c r="Z30" s="12">
        <v>111.78399965243761</v>
      </c>
      <c r="AA30" s="11">
        <v>2.1000000000000001E-2</v>
      </c>
      <c r="AB30" s="12">
        <v>105.50399995855983</v>
      </c>
      <c r="AC30" s="11">
        <v>2.1000000000000001E-2</v>
      </c>
      <c r="AD30" s="12">
        <v>112.87296522770791</v>
      </c>
      <c r="AE30" s="11"/>
      <c r="AF30" s="12"/>
    </row>
    <row r="31" spans="17:32">
      <c r="Y31" s="11">
        <v>2.1999999999999999E-2</v>
      </c>
      <c r="Z31" s="12">
        <v>111.78399967436596</v>
      </c>
      <c r="AA31" s="11">
        <v>2.1999999999999999E-2</v>
      </c>
      <c r="AB31" s="12">
        <v>105.50399996116047</v>
      </c>
      <c r="AC31" s="11">
        <v>2.1999999999999999E-2</v>
      </c>
      <c r="AD31" s="12">
        <v>112.97695665137701</v>
      </c>
      <c r="AE31" s="11"/>
      <c r="AF31" s="12"/>
    </row>
    <row r="32" spans="17:32">
      <c r="Y32" s="11">
        <v>2.3E-2</v>
      </c>
      <c r="Z32" s="12">
        <v>111.78399969513642</v>
      </c>
      <c r="AA32" s="11">
        <v>2.3E-2</v>
      </c>
      <c r="AB32" s="12">
        <v>105.50399996362606</v>
      </c>
      <c r="AC32" s="11">
        <v>2.3E-2</v>
      </c>
      <c r="AD32" s="12">
        <v>113.07984969337781</v>
      </c>
      <c r="AE32" s="11"/>
      <c r="AF32" s="12"/>
    </row>
    <row r="33" spans="25:32">
      <c r="Y33" s="11">
        <v>2.4E-2</v>
      </c>
      <c r="Z33" s="12">
        <v>111.7839997147984</v>
      </c>
      <c r="AA33" s="11">
        <v>2.4E-2</v>
      </c>
      <c r="AB33" s="12">
        <v>105.50399996596187</v>
      </c>
      <c r="AC33" s="11">
        <v>2.4E-2</v>
      </c>
      <c r="AD33" s="12">
        <v>113.17208758437576</v>
      </c>
      <c r="AE33" s="11"/>
      <c r="AF33" s="12"/>
    </row>
    <row r="34" spans="25:32">
      <c r="Y34" s="11">
        <v>2.5000000000000001E-2</v>
      </c>
      <c r="Z34" s="12">
        <v>111.78399973339972</v>
      </c>
      <c r="AA34" s="11">
        <v>2.5000000000000001E-2</v>
      </c>
      <c r="AB34" s="12">
        <v>105.50399996817349</v>
      </c>
      <c r="AC34" s="11">
        <v>2.5000000000000001E-2</v>
      </c>
      <c r="AD34" s="12">
        <v>113.22544420067001</v>
      </c>
      <c r="AE34" s="11"/>
      <c r="AF34" s="12"/>
    </row>
    <row r="35" spans="25:32">
      <c r="Y35" s="11">
        <v>2.6000000000000002E-2</v>
      </c>
      <c r="Z35" s="12">
        <v>111.78399975098645</v>
      </c>
      <c r="AA35" s="11">
        <v>2.6000000000000002E-2</v>
      </c>
      <c r="AB35" s="12">
        <v>105.50399997026618</v>
      </c>
      <c r="AC35" s="11">
        <v>2.6000000000000002E-2</v>
      </c>
      <c r="AD35" s="12">
        <v>113.27863106126628</v>
      </c>
      <c r="AE35" s="11"/>
      <c r="AF35" s="12"/>
    </row>
    <row r="36" spans="25:32">
      <c r="Y36" s="11">
        <v>2.7E-2</v>
      </c>
      <c r="Z36" s="12">
        <v>111.78399976760325</v>
      </c>
      <c r="AA36" s="11">
        <v>2.7E-2</v>
      </c>
      <c r="AB36" s="12">
        <v>105.50399997224486</v>
      </c>
      <c r="AC36" s="11">
        <v>2.7E-2</v>
      </c>
      <c r="AD36" s="12">
        <v>113.33092855078782</v>
      </c>
      <c r="AE36" s="11"/>
      <c r="AF36" s="12"/>
    </row>
    <row r="37" spans="25:32">
      <c r="Y37" s="11">
        <v>2.8000000000000001E-2</v>
      </c>
      <c r="Z37" s="12">
        <v>111.78399978329334</v>
      </c>
      <c r="AA37" s="11">
        <v>2.8000000000000001E-2</v>
      </c>
      <c r="AB37" s="12">
        <v>105.50419642328987</v>
      </c>
      <c r="AC37" s="11">
        <v>2.8000000000000001E-2</v>
      </c>
      <c r="AD37" s="12">
        <v>113.38291532795543</v>
      </c>
      <c r="AE37" s="11"/>
      <c r="AF37" s="12"/>
    </row>
    <row r="38" spans="25:32">
      <c r="Y38" s="11">
        <v>2.9000000000000001E-2</v>
      </c>
      <c r="Z38" s="12">
        <v>111.78399979809822</v>
      </c>
      <c r="AA38" s="11">
        <v>2.9000000000000001E-2</v>
      </c>
      <c r="AB38" s="12">
        <v>105.5041882799982</v>
      </c>
      <c r="AC38" s="11">
        <v>2.9000000000000001E-2</v>
      </c>
      <c r="AD38" s="12">
        <v>113.43411955634785</v>
      </c>
      <c r="AE38" s="11"/>
      <c r="AF38" s="12"/>
    </row>
    <row r="39" spans="25:32">
      <c r="Y39" s="11">
        <v>0.03</v>
      </c>
      <c r="Z39" s="12">
        <v>111.78399981205811</v>
      </c>
      <c r="AA39" s="11">
        <v>0.03</v>
      </c>
      <c r="AB39" s="12">
        <v>105.50418036663322</v>
      </c>
      <c r="AC39" s="11">
        <v>0.03</v>
      </c>
      <c r="AD39" s="12">
        <v>113.48473920885151</v>
      </c>
      <c r="AE39" s="11"/>
      <c r="AF39" s="12"/>
    </row>
    <row r="40" spans="25:32">
      <c r="Y40" s="11">
        <v>3.1E-2</v>
      </c>
      <c r="Z40" s="12">
        <v>111.78399982521184</v>
      </c>
      <c r="AA40" s="11">
        <v>3.1E-2</v>
      </c>
      <c r="AB40" s="12">
        <v>105.50417268749308</v>
      </c>
      <c r="AC40" s="11">
        <v>3.1E-2</v>
      </c>
      <c r="AD40" s="12">
        <v>113.53466186143456</v>
      </c>
      <c r="AE40" s="11"/>
      <c r="AF40" s="12"/>
    </row>
    <row r="41" spans="25:32">
      <c r="Y41" s="11">
        <v>3.2000000000000001E-2</v>
      </c>
      <c r="Z41" s="12">
        <v>111.78399983759682</v>
      </c>
      <c r="AA41" s="11">
        <v>3.2000000000000001E-2</v>
      </c>
      <c r="AB41" s="12">
        <v>105.50416523850745</v>
      </c>
      <c r="AC41" s="11">
        <v>3.2000000000000001E-2</v>
      </c>
      <c r="AD41" s="12">
        <v>113.58395895729076</v>
      </c>
      <c r="AE41" s="11"/>
      <c r="AF41" s="12"/>
    </row>
    <row r="42" spans="25:32">
      <c r="Y42" s="11">
        <v>3.3000000000000002E-2</v>
      </c>
      <c r="Z42" s="12">
        <v>111.78399984924926</v>
      </c>
      <c r="AA42" s="11">
        <v>3.3000000000000002E-2</v>
      </c>
      <c r="AB42" s="12">
        <v>105.50415801563267</v>
      </c>
      <c r="AC42" s="11">
        <v>3.3000000000000002E-2</v>
      </c>
      <c r="AD42" s="12">
        <v>113.63239901664259</v>
      </c>
      <c r="AE42" s="11"/>
      <c r="AF42" s="12"/>
    </row>
    <row r="43" spans="25:32">
      <c r="Y43" s="11">
        <v>3.4000000000000002E-2</v>
      </c>
      <c r="Z43" s="12">
        <v>111.78399986020381</v>
      </c>
      <c r="AA43" s="11">
        <v>3.4000000000000002E-2</v>
      </c>
      <c r="AB43" s="12">
        <v>105.50415101485154</v>
      </c>
      <c r="AC43" s="11">
        <v>3.4000000000000002E-2</v>
      </c>
      <c r="AD43" s="12">
        <v>113.68015760702197</v>
      </c>
      <c r="AE43" s="11"/>
      <c r="AF43" s="12"/>
    </row>
    <row r="44" spans="25:32">
      <c r="Y44" s="11">
        <v>3.5000000000000003E-2</v>
      </c>
      <c r="Z44" s="12">
        <v>111.78399987049414</v>
      </c>
      <c r="AA44" s="11">
        <v>3.5000000000000003E-2</v>
      </c>
      <c r="AB44" s="12">
        <v>105.50414423217362</v>
      </c>
      <c r="AC44" s="11">
        <v>3.5000000000000003E-2</v>
      </c>
      <c r="AD44" s="12">
        <v>113.72713824693278</v>
      </c>
      <c r="AE44" s="11"/>
      <c r="AF44" s="12"/>
    </row>
    <row r="45" spans="25:32">
      <c r="Y45" s="11">
        <v>3.6000000000000004E-2</v>
      </c>
      <c r="Z45" s="12">
        <v>111.78399988015256</v>
      </c>
      <c r="AA45" s="11">
        <v>3.6000000000000004E-2</v>
      </c>
      <c r="AB45" s="12">
        <v>105.50413766363496</v>
      </c>
      <c r="AC45" s="11">
        <v>3.6000000000000004E-2</v>
      </c>
      <c r="AD45" s="12">
        <v>113.77331176861964</v>
      </c>
      <c r="AE45" s="11"/>
      <c r="AF45" s="12"/>
    </row>
    <row r="46" spans="25:32">
      <c r="Y46" s="11">
        <v>3.6999999999999998E-2</v>
      </c>
      <c r="Z46" s="12">
        <v>111.78399988921009</v>
      </c>
      <c r="AA46" s="11">
        <v>3.6999999999999998E-2</v>
      </c>
      <c r="AB46" s="12">
        <v>105.5041313052977</v>
      </c>
      <c r="AC46" s="11">
        <v>3.6999999999999998E-2</v>
      </c>
      <c r="AD46" s="12">
        <v>113.81864832559131</v>
      </c>
      <c r="AE46" s="11"/>
      <c r="AF46" s="12"/>
    </row>
    <row r="47" spans="25:32">
      <c r="Y47" s="11">
        <v>3.7999999999999999E-2</v>
      </c>
      <c r="Z47" s="12">
        <v>111.78399989769679</v>
      </c>
      <c r="AA47" s="11">
        <v>3.7999999999999999E-2</v>
      </c>
      <c r="AB47" s="12">
        <v>105.50412515325036</v>
      </c>
      <c r="AC47" s="11">
        <v>3.7999999999999999E-2</v>
      </c>
      <c r="AD47" s="12">
        <v>113.86311734994055</v>
      </c>
      <c r="AE47" s="11"/>
      <c r="AF47" s="12"/>
    </row>
    <row r="48" spans="25:32">
      <c r="Y48" s="11">
        <v>3.9E-2</v>
      </c>
      <c r="Z48" s="12">
        <v>111.78399990564154</v>
      </c>
      <c r="AA48" s="11">
        <v>3.9E-2</v>
      </c>
      <c r="AB48" s="12">
        <v>105.50411920360709</v>
      </c>
      <c r="AC48" s="11">
        <v>3.9E-2</v>
      </c>
      <c r="AD48" s="12">
        <v>113.90668828554539</v>
      </c>
      <c r="AE48" s="11"/>
      <c r="AF48" s="12"/>
    </row>
    <row r="49" spans="25:32">
      <c r="Y49" s="11">
        <v>0.04</v>
      </c>
      <c r="Z49" s="12">
        <v>111.78399991307182</v>
      </c>
      <c r="AA49" s="11">
        <v>0.04</v>
      </c>
      <c r="AB49" s="12">
        <v>105.50411345250811</v>
      </c>
      <c r="AC49" s="11">
        <v>0.04</v>
      </c>
      <c r="AD49" s="12">
        <v>113.94398954952675</v>
      </c>
      <c r="AE49" s="11"/>
      <c r="AF49" s="12"/>
    </row>
    <row r="50" spans="25:32">
      <c r="Y50" s="11">
        <v>4.1000000000000002E-2</v>
      </c>
      <c r="Z50" s="12">
        <v>111.78399992001459</v>
      </c>
      <c r="AA50" s="11">
        <v>4.1000000000000002E-2</v>
      </c>
      <c r="AB50" s="12">
        <v>105.50410789611901</v>
      </c>
      <c r="AC50" s="11">
        <v>4.1000000000000002E-2</v>
      </c>
      <c r="AD50" s="12">
        <v>113.96174848725747</v>
      </c>
      <c r="AE50" s="11"/>
      <c r="AF50" s="12"/>
    </row>
    <row r="51" spans="25:32">
      <c r="Y51" s="11">
        <v>4.2000000000000003E-2</v>
      </c>
      <c r="Z51" s="12">
        <v>111.78399992649528</v>
      </c>
      <c r="AA51" s="11">
        <v>4.2000000000000003E-2</v>
      </c>
      <c r="AB51" s="12">
        <v>105.5041025306312</v>
      </c>
      <c r="AC51" s="11">
        <v>4.2000000000000003E-2</v>
      </c>
      <c r="AD51" s="12">
        <v>113.9794799171014</v>
      </c>
      <c r="AE51" s="11"/>
      <c r="AF51" s="12"/>
    </row>
    <row r="52" spans="25:32">
      <c r="Y52" s="11">
        <v>4.3000000000000003E-2</v>
      </c>
      <c r="Z52" s="12">
        <v>111.78399993253845</v>
      </c>
      <c r="AA52" s="11">
        <v>4.3000000000000003E-2</v>
      </c>
      <c r="AB52" s="12">
        <v>105.50409735226145</v>
      </c>
      <c r="AC52" s="11">
        <v>4.3000000000000003E-2</v>
      </c>
      <c r="AD52" s="12">
        <v>113.99668316343281</v>
      </c>
      <c r="AE52" s="11"/>
      <c r="AF52" s="12"/>
    </row>
    <row r="53" spans="25:32">
      <c r="Y53" s="11">
        <v>4.3999999999999997E-2</v>
      </c>
      <c r="Z53" s="12">
        <v>111.78399993816774</v>
      </c>
      <c r="AA53" s="11">
        <v>4.3999999999999997E-2</v>
      </c>
      <c r="AB53" s="12">
        <v>105.5040923572509</v>
      </c>
      <c r="AC53" s="11">
        <v>4.3999999999999997E-2</v>
      </c>
      <c r="AD53" s="12">
        <v>114.01347321149079</v>
      </c>
      <c r="AE53" s="11"/>
      <c r="AF53" s="12"/>
    </row>
    <row r="54" spans="25:32">
      <c r="Y54" s="11">
        <v>4.4999999999999998E-2</v>
      </c>
      <c r="Z54" s="12">
        <v>111.78422177397938</v>
      </c>
      <c r="AA54" s="11">
        <v>4.4999999999999998E-2</v>
      </c>
      <c r="AB54" s="12">
        <v>105.50408754186708</v>
      </c>
      <c r="AC54" s="11">
        <v>4.4999999999999998E-2</v>
      </c>
      <c r="AD54" s="12">
        <v>114.02985321286002</v>
      </c>
      <c r="AE54" s="11"/>
      <c r="AF54" s="12"/>
    </row>
    <row r="55" spans="25:32">
      <c r="Y55" s="11">
        <v>4.5999999999999999E-2</v>
      </c>
      <c r="Z55" s="12">
        <v>111.78421014550295</v>
      </c>
      <c r="AA55" s="11">
        <v>4.5999999999999999E-2</v>
      </c>
      <c r="AB55" s="12">
        <v>105.50408290240119</v>
      </c>
      <c r="AC55" s="11">
        <v>4.5999999999999999E-2</v>
      </c>
      <c r="AD55" s="12">
        <v>114.04580978625644</v>
      </c>
      <c r="AE55" s="11"/>
      <c r="AF55" s="12"/>
    </row>
    <row r="56" spans="25:32">
      <c r="Y56" s="11">
        <v>4.7E-2</v>
      </c>
      <c r="Z56" s="12">
        <v>111.784198926274</v>
      </c>
      <c r="AA56" s="11">
        <v>4.7E-2</v>
      </c>
      <c r="AB56" s="12">
        <v>105.50407843517007</v>
      </c>
      <c r="AC56" s="11">
        <v>4.7E-2</v>
      </c>
      <c r="AD56" s="12">
        <v>114.06133239844598</v>
      </c>
      <c r="AE56" s="11"/>
      <c r="AF56" s="12"/>
    </row>
    <row r="57" spans="25:32">
      <c r="Y57" s="11">
        <v>4.8000000000000001E-2</v>
      </c>
      <c r="Z57" s="12">
        <v>111.78418813254493</v>
      </c>
      <c r="AA57" s="11">
        <v>4.8000000000000001E-2</v>
      </c>
      <c r="AB57" s="12">
        <v>105.50407413651452</v>
      </c>
      <c r="AC57" s="11">
        <v>4.8000000000000001E-2</v>
      </c>
      <c r="AD57" s="12">
        <v>114.0764006706934</v>
      </c>
      <c r="AE57" s="11"/>
      <c r="AF57" s="12"/>
    </row>
    <row r="58" spans="25:32">
      <c r="Y58" s="11">
        <v>4.9000000000000002E-2</v>
      </c>
      <c r="Z58" s="12">
        <v>111.78417775465451</v>
      </c>
      <c r="AA58" s="11">
        <v>4.9000000000000002E-2</v>
      </c>
      <c r="AB58" s="12">
        <v>105.50407000280011</v>
      </c>
      <c r="AC58" s="11">
        <v>4.9000000000000002E-2</v>
      </c>
      <c r="AD58" s="12">
        <v>114.09100355706381</v>
      </c>
      <c r="AE58" s="11"/>
      <c r="AF58" s="12"/>
    </row>
    <row r="59" spans="25:32">
      <c r="Y59" s="11">
        <v>0.05</v>
      </c>
      <c r="Z59" s="12">
        <v>111.78416778303011</v>
      </c>
      <c r="AA59" s="11">
        <v>0.05</v>
      </c>
      <c r="AB59" s="12">
        <v>105.50406603041671</v>
      </c>
      <c r="AC59" s="11">
        <v>0.05</v>
      </c>
      <c r="AD59" s="12">
        <v>114.10513426163109</v>
      </c>
      <c r="AE59" s="11"/>
      <c r="AF59" s="12"/>
    </row>
    <row r="60" spans="25:32">
      <c r="Y60" s="11">
        <v>5.1000000000000004E-2</v>
      </c>
      <c r="Z60" s="12">
        <v>111.7841582081896</v>
      </c>
      <c r="AA60" s="11">
        <v>5.1000000000000004E-2</v>
      </c>
      <c r="AB60" s="12">
        <v>105.50406221577839</v>
      </c>
      <c r="AC60" s="11">
        <v>5.1000000000000004E-2</v>
      </c>
      <c r="AD60" s="12">
        <v>114.11888948984966</v>
      </c>
      <c r="AE60" s="11"/>
      <c r="AF60" s="12"/>
    </row>
    <row r="61" spans="25:32">
      <c r="Y61" s="11">
        <v>5.2000000000000005E-2</v>
      </c>
      <c r="Z61" s="12">
        <v>111.78414902074041</v>
      </c>
      <c r="AA61" s="11">
        <v>5.2000000000000005E-2</v>
      </c>
      <c r="AB61" s="12">
        <v>105.50405855532304</v>
      </c>
      <c r="AC61" s="11">
        <v>5.2000000000000005E-2</v>
      </c>
      <c r="AD61" s="12">
        <v>114.13186051459246</v>
      </c>
      <c r="AE61" s="11"/>
      <c r="AF61" s="12"/>
    </row>
    <row r="62" spans="25:32">
      <c r="Y62" s="11">
        <v>5.2999999999999999E-2</v>
      </c>
      <c r="Z62" s="12">
        <v>111.78414021137954</v>
      </c>
      <c r="AA62" s="11">
        <v>5.2999999999999999E-2</v>
      </c>
      <c r="AB62" s="12">
        <v>105.5040550455127</v>
      </c>
      <c r="AC62" s="11">
        <v>5.2999999999999999E-2</v>
      </c>
      <c r="AD62" s="12">
        <v>114.14444019837647</v>
      </c>
      <c r="AE62" s="11"/>
      <c r="AF62" s="12"/>
    </row>
    <row r="63" spans="25:32">
      <c r="Y63" s="11">
        <v>5.3999999999999999E-2</v>
      </c>
      <c r="Z63" s="12">
        <v>111.78413177089169</v>
      </c>
      <c r="AA63" s="11">
        <v>5.3999999999999999E-2</v>
      </c>
      <c r="AB63" s="12">
        <v>105.50405168283272</v>
      </c>
      <c r="AC63" s="11">
        <v>5.3999999999999999E-2</v>
      </c>
      <c r="AD63" s="12">
        <v>114.15647109631894</v>
      </c>
      <c r="AE63" s="11"/>
      <c r="AF63" s="12"/>
    </row>
    <row r="64" spans="25:32">
      <c r="Y64" s="11">
        <v>5.5E-2</v>
      </c>
      <c r="Z64" s="12">
        <v>111.7841236901493</v>
      </c>
      <c r="AA64" s="11">
        <v>5.5E-2</v>
      </c>
      <c r="AB64" s="12">
        <v>105.50404846379233</v>
      </c>
      <c r="AC64" s="11">
        <v>5.5E-2</v>
      </c>
      <c r="AD64" s="12">
        <v>114.16814914148569</v>
      </c>
      <c r="AE64" s="11"/>
      <c r="AF64" s="12"/>
    </row>
    <row r="65" spans="25:32">
      <c r="Y65" s="11">
        <v>5.6000000000000001E-2</v>
      </c>
      <c r="Z65" s="12">
        <v>111.78411596011146</v>
      </c>
      <c r="AA65" s="11">
        <v>5.6000000000000001E-2</v>
      </c>
      <c r="AB65" s="12">
        <v>105.50404538492432</v>
      </c>
      <c r="AC65" s="11">
        <v>5.6000000000000001E-2</v>
      </c>
      <c r="AD65" s="12">
        <v>114.17899247003284</v>
      </c>
      <c r="AE65" s="11"/>
      <c r="AF65" s="12"/>
    </row>
    <row r="66" spans="25:32">
      <c r="Y66" s="11">
        <v>5.7000000000000002E-2</v>
      </c>
      <c r="Z66" s="12">
        <v>111.78410857182317</v>
      </c>
      <c r="AA66" s="11">
        <v>5.7000000000000002E-2</v>
      </c>
      <c r="AB66" s="12">
        <v>105.50404244278482</v>
      </c>
      <c r="AC66" s="11">
        <v>5.7000000000000002E-2</v>
      </c>
      <c r="AD66" s="12">
        <v>114.18923397856376</v>
      </c>
      <c r="AE66" s="11"/>
      <c r="AF66" s="12"/>
    </row>
    <row r="67" spans="25:32">
      <c r="Y67" s="11">
        <v>5.8000000000000003E-2</v>
      </c>
      <c r="Z67" s="12">
        <v>111.78410151641478</v>
      </c>
      <c r="AA67" s="11">
        <v>5.8000000000000003E-2</v>
      </c>
      <c r="AB67" s="12">
        <v>105.50403963395252</v>
      </c>
      <c r="AC67" s="11">
        <v>5.8000000000000003E-2</v>
      </c>
      <c r="AD67" s="12">
        <v>114.19885191670545</v>
      </c>
      <c r="AE67" s="11"/>
      <c r="AF67" s="12"/>
    </row>
    <row r="68" spans="25:32">
      <c r="Y68" s="11">
        <v>5.9000000000000004E-2</v>
      </c>
      <c r="Z68" s="12">
        <v>111.78409478510085</v>
      </c>
      <c r="AA68" s="11">
        <v>5.9000000000000004E-2</v>
      </c>
      <c r="AB68" s="12">
        <v>105.50403695503024</v>
      </c>
      <c r="AC68" s="11">
        <v>5.9000000000000004E-2</v>
      </c>
      <c r="AD68" s="12">
        <v>114.20781972239641</v>
      </c>
      <c r="AE68" s="11"/>
      <c r="AF68" s="12"/>
    </row>
    <row r="69" spans="25:32">
      <c r="Y69" s="11">
        <v>0.06</v>
      </c>
      <c r="Z69" s="12">
        <v>111.78408836918007</v>
      </c>
      <c r="AA69" s="11">
        <v>0.06</v>
      </c>
      <c r="AB69" s="12">
        <v>105.5040344026425</v>
      </c>
      <c r="AC69" s="11">
        <v>0.06</v>
      </c>
      <c r="AD69" s="12">
        <v>114.21655335561056</v>
      </c>
      <c r="AE69" s="11"/>
      <c r="AF69" s="12"/>
    </row>
    <row r="70" spans="25:32">
      <c r="Y70" s="11">
        <v>6.0999999999999999E-2</v>
      </c>
      <c r="Z70" s="12">
        <v>111.78408226003405</v>
      </c>
      <c r="AA70" s="11">
        <v>6.0999999999999999E-2</v>
      </c>
      <c r="AB70" s="12">
        <v>105.50403197343769</v>
      </c>
      <c r="AC70" s="11">
        <v>6.0999999999999999E-2</v>
      </c>
      <c r="AD70" s="12">
        <v>114.22519678643928</v>
      </c>
      <c r="AE70" s="11"/>
      <c r="AF70" s="12"/>
    </row>
    <row r="71" spans="25:32">
      <c r="Y71" s="11">
        <v>6.2E-2</v>
      </c>
      <c r="Z71" s="12">
        <v>111.78407644912662</v>
      </c>
      <c r="AA71" s="11">
        <v>6.2E-2</v>
      </c>
      <c r="AB71" s="12">
        <v>105.50402966408572</v>
      </c>
      <c r="AC71" s="11">
        <v>6.2E-2</v>
      </c>
      <c r="AD71" s="12">
        <v>114.233740686836</v>
      </c>
      <c r="AE71" s="11"/>
      <c r="AF71" s="12"/>
    </row>
    <row r="72" spans="25:32">
      <c r="Y72" s="11">
        <v>6.3E-2</v>
      </c>
      <c r="Z72" s="12">
        <v>111.78407092800319</v>
      </c>
      <c r="AA72" s="11">
        <v>6.3E-2</v>
      </c>
      <c r="AB72" s="12">
        <v>105.50402747128001</v>
      </c>
      <c r="AC72" s="11">
        <v>6.3E-2</v>
      </c>
      <c r="AD72" s="12">
        <v>114.2421828822354</v>
      </c>
      <c r="AE72" s="11"/>
      <c r="AF72" s="12"/>
    </row>
    <row r="73" spans="25:32">
      <c r="Y73" s="11">
        <v>6.4000000000000001E-2</v>
      </c>
      <c r="Z73" s="12">
        <v>111.7840656882903</v>
      </c>
      <c r="AA73" s="11">
        <v>6.4000000000000001E-2</v>
      </c>
      <c r="AB73" s="12">
        <v>105.50402539173582</v>
      </c>
      <c r="AC73" s="11">
        <v>6.4000000000000001E-2</v>
      </c>
      <c r="AD73" s="12">
        <v>114.25052116546244</v>
      </c>
      <c r="AE73" s="11"/>
      <c r="AF73" s="12"/>
    </row>
    <row r="74" spans="25:32">
      <c r="Y74" s="11">
        <v>6.5000000000000002E-2</v>
      </c>
      <c r="Z74" s="12">
        <v>111.78406072169444</v>
      </c>
      <c r="AA74" s="11">
        <v>6.5000000000000002E-2</v>
      </c>
      <c r="AB74" s="12">
        <v>105.50402342219085</v>
      </c>
      <c r="AC74" s="11">
        <v>6.5000000000000002E-2</v>
      </c>
      <c r="AD74" s="12">
        <v>114.25875329482011</v>
      </c>
      <c r="AE74" s="11"/>
      <c r="AF74" s="12"/>
    </row>
    <row r="75" spans="25:32">
      <c r="Y75" s="11">
        <v>6.6000000000000003E-2</v>
      </c>
      <c r="Z75" s="12">
        <v>111.78405602000188</v>
      </c>
      <c r="AA75" s="11">
        <v>6.6000000000000003E-2</v>
      </c>
      <c r="AB75" s="12">
        <v>105.50402155940462</v>
      </c>
      <c r="AC75" s="11">
        <v>6.6000000000000003E-2</v>
      </c>
      <c r="AD75" s="12">
        <v>114.26687699275031</v>
      </c>
      <c r="AE75" s="11"/>
      <c r="AF75" s="12"/>
    </row>
    <row r="76" spans="25:32">
      <c r="Y76" s="11">
        <v>6.7000000000000004E-2</v>
      </c>
      <c r="Z76" s="12">
        <v>111.78405157507777</v>
      </c>
      <c r="AA76" s="11">
        <v>6.7000000000000004E-2</v>
      </c>
      <c r="AB76" s="12">
        <v>105.50401980015886</v>
      </c>
      <c r="AC76" s="11">
        <v>6.7000000000000004E-2</v>
      </c>
      <c r="AD76" s="12">
        <v>114.27488994443439</v>
      </c>
      <c r="AE76" s="11"/>
      <c r="AF76" s="12"/>
    </row>
    <row r="77" spans="25:32">
      <c r="Y77" s="11">
        <v>6.8000000000000005E-2</v>
      </c>
      <c r="Z77" s="12">
        <v>111.78404737886493</v>
      </c>
      <c r="AA77" s="11">
        <v>6.8000000000000005E-2</v>
      </c>
      <c r="AB77" s="12">
        <v>105.50401814125703</v>
      </c>
      <c r="AC77" s="11">
        <v>6.8000000000000005E-2</v>
      </c>
      <c r="AD77" s="12">
        <v>114.28278979632904</v>
      </c>
      <c r="AE77" s="11"/>
      <c r="AF77" s="12"/>
    </row>
    <row r="78" spans="25:32">
      <c r="Y78" s="11">
        <v>6.9000000000000006E-2</v>
      </c>
      <c r="Z78" s="12">
        <v>111.78404342338439</v>
      </c>
      <c r="AA78" s="11">
        <v>6.9000000000000006E-2</v>
      </c>
      <c r="AB78" s="12">
        <v>105.50401657952443</v>
      </c>
      <c r="AC78" s="11">
        <v>6.9000000000000006E-2</v>
      </c>
      <c r="AD78" s="12">
        <v>114.29057415463413</v>
      </c>
      <c r="AE78" s="11"/>
      <c r="AF78" s="12"/>
    </row>
    <row r="79" spans="25:32">
      <c r="Y79" s="11">
        <v>7.0000000000000007E-2</v>
      </c>
      <c r="Z79" s="12">
        <v>111.78403970073336</v>
      </c>
      <c r="AA79" s="11">
        <v>7.0000000000000007E-2</v>
      </c>
      <c r="AB79" s="12">
        <v>105.50401511180772</v>
      </c>
      <c r="AC79" s="11">
        <v>7.0000000000000007E-2</v>
      </c>
      <c r="AD79" s="12">
        <v>114.29824058368752</v>
      </c>
      <c r="AE79" s="11"/>
      <c r="AF79" s="12"/>
    </row>
    <row r="80" spans="25:32">
      <c r="Y80" s="11">
        <v>7.1000000000000008E-2</v>
      </c>
      <c r="Z80" s="12">
        <v>111.78403620308578</v>
      </c>
      <c r="AA80" s="11">
        <v>7.1000000000000008E-2</v>
      </c>
      <c r="AB80" s="12">
        <v>105.50401373497563</v>
      </c>
      <c r="AC80" s="11">
        <v>7.1000000000000008E-2</v>
      </c>
      <c r="AD80" s="12">
        <v>114.3057866042833</v>
      </c>
      <c r="AE80" s="11"/>
      <c r="AF80" s="12"/>
    </row>
    <row r="81" spans="25:32">
      <c r="Y81" s="11">
        <v>7.2000000000000008E-2</v>
      </c>
      <c r="Z81" s="12">
        <v>111.78403292269067</v>
      </c>
      <c r="AA81" s="11">
        <v>7.2000000000000008E-2</v>
      </c>
      <c r="AB81" s="12">
        <v>105.504012445917</v>
      </c>
      <c r="AC81" s="11">
        <v>7.2000000000000008E-2</v>
      </c>
      <c r="AD81" s="12">
        <v>114.31320969190757</v>
      </c>
      <c r="AE81" s="11"/>
      <c r="AF81" s="12"/>
    </row>
    <row r="82" spans="25:32">
      <c r="Y82" s="11">
        <v>7.2999999999999995E-2</v>
      </c>
      <c r="Z82" s="12">
        <v>111.78402985187228</v>
      </c>
      <c r="AA82" s="11">
        <v>7.2999999999999995E-2</v>
      </c>
      <c r="AB82" s="12">
        <v>105.50401124154322</v>
      </c>
      <c r="AC82" s="11">
        <v>7.2999999999999995E-2</v>
      </c>
      <c r="AD82" s="12">
        <v>114.32050727488686</v>
      </c>
      <c r="AE82" s="11"/>
      <c r="AF82" s="12"/>
    </row>
    <row r="83" spans="25:32">
      <c r="Y83" s="11">
        <v>7.3999999999999996E-2</v>
      </c>
      <c r="Z83" s="12">
        <v>111.78402698302875</v>
      </c>
      <c r="AA83" s="11">
        <v>7.3999999999999996E-2</v>
      </c>
      <c r="AB83" s="12">
        <v>105.50401011878584</v>
      </c>
      <c r="AC83" s="11">
        <v>7.3999999999999996E-2</v>
      </c>
      <c r="AD83" s="12">
        <v>114.3276767324441</v>
      </c>
      <c r="AE83" s="11"/>
      <c r="AF83" s="12"/>
    </row>
    <row r="84" spans="25:32">
      <c r="Y84" s="11">
        <v>7.4999999999999997E-2</v>
      </c>
      <c r="Z84" s="12">
        <v>111.78402430863201</v>
      </c>
      <c r="AA84" s="11">
        <v>7.4999999999999997E-2</v>
      </c>
      <c r="AB84" s="12">
        <v>105.50400907459792</v>
      </c>
      <c r="AC84" s="11">
        <v>7.4999999999999997E-2</v>
      </c>
      <c r="AD84" s="12">
        <v>114.33471539265466</v>
      </c>
      <c r="AE84" s="11"/>
      <c r="AF84" s="12"/>
    </row>
    <row r="85" spans="25:32">
      <c r="Y85" s="11">
        <v>7.5999999999999998E-2</v>
      </c>
      <c r="Z85" s="12">
        <v>111.78402182122713</v>
      </c>
      <c r="AA85" s="11">
        <v>7.5999999999999998E-2</v>
      </c>
      <c r="AB85" s="12">
        <v>105.50400810595306</v>
      </c>
      <c r="AC85" s="11">
        <v>7.5999999999999998E-2</v>
      </c>
      <c r="AD85" s="12">
        <v>114.34162053029698</v>
      </c>
      <c r="AE85" s="11"/>
      <c r="AF85" s="12"/>
    </row>
    <row r="86" spans="25:32">
      <c r="Y86" s="11">
        <v>7.6999999999999999E-2</v>
      </c>
      <c r="Z86" s="12">
        <v>111.78401951343118</v>
      </c>
      <c r="AA86" s="11">
        <v>7.6999999999999999E-2</v>
      </c>
      <c r="AB86" s="12">
        <v>105.50400720984518</v>
      </c>
      <c r="AC86" s="11">
        <v>7.6999999999999999E-2</v>
      </c>
      <c r="AD86" s="12">
        <v>114.34838936459082</v>
      </c>
      <c r="AE86" s="11"/>
      <c r="AF86" s="12"/>
    </row>
    <row r="87" spans="25:32">
      <c r="Y87" s="11">
        <v>7.8E-2</v>
      </c>
      <c r="Z87" s="12">
        <v>111.78401737793303</v>
      </c>
      <c r="AA87" s="11">
        <v>7.8E-2</v>
      </c>
      <c r="AB87" s="12">
        <v>105.50400638328985</v>
      </c>
      <c r="AC87" s="11">
        <v>7.8E-2</v>
      </c>
      <c r="AD87" s="12">
        <v>114.35501905681383</v>
      </c>
      <c r="AE87" s="11"/>
      <c r="AF87" s="12"/>
    </row>
    <row r="88" spans="25:32">
      <c r="Y88" s="11">
        <v>7.9000000000000001E-2</v>
      </c>
      <c r="Z88" s="12">
        <v>111.78401540749286</v>
      </c>
      <c r="AA88" s="11">
        <v>7.9000000000000001E-2</v>
      </c>
      <c r="AB88" s="12">
        <v>105.50400562332226</v>
      </c>
      <c r="AC88" s="11">
        <v>7.9000000000000001E-2</v>
      </c>
      <c r="AD88" s="12">
        <v>114.36150670779021</v>
      </c>
      <c r="AE88" s="11"/>
      <c r="AF88" s="12"/>
    </row>
    <row r="89" spans="25:32">
      <c r="Y89" s="11">
        <v>0.08</v>
      </c>
      <c r="Z89" s="12">
        <v>111.78401359494154</v>
      </c>
      <c r="AA89" s="11">
        <v>0.08</v>
      </c>
      <c r="AB89" s="12">
        <v>105.50400492699801</v>
      </c>
      <c r="AC89" s="11">
        <v>0.08</v>
      </c>
      <c r="AD89" s="12">
        <v>114.36784935524119</v>
      </c>
      <c r="AE89" s="11"/>
      <c r="AF89" s="12"/>
    </row>
    <row r="90" spans="25:32">
      <c r="Y90" s="11">
        <v>8.1000000000000003E-2</v>
      </c>
      <c r="Z90" s="12">
        <v>111.78401193317906</v>
      </c>
      <c r="AA90" s="11">
        <v>8.1000000000000003E-2</v>
      </c>
      <c r="AB90" s="12">
        <v>105.50400429139317</v>
      </c>
      <c r="AC90" s="11">
        <v>8.1000000000000003E-2</v>
      </c>
      <c r="AD90" s="12">
        <v>114.37404397098692</v>
      </c>
      <c r="AE90" s="11"/>
      <c r="AF90" s="12"/>
    </row>
    <row r="91" spans="25:32">
      <c r="Y91" s="11">
        <v>8.2000000000000003E-2</v>
      </c>
      <c r="Z91" s="12">
        <v>111.78401041517547</v>
      </c>
      <c r="AA91" s="11">
        <v>8.2000000000000003E-2</v>
      </c>
      <c r="AB91" s="12">
        <v>105.50400371360335</v>
      </c>
      <c r="AC91" s="11">
        <v>8.2000000000000003E-2</v>
      </c>
      <c r="AD91" s="12">
        <v>114.38008745799115</v>
      </c>
      <c r="AE91" s="11"/>
      <c r="AF91" s="12"/>
    </row>
    <row r="92" spans="25:32">
      <c r="Y92" s="11">
        <v>8.3000000000000004E-2</v>
      </c>
      <c r="Z92" s="12">
        <v>111.7840090339692</v>
      </c>
      <c r="AA92" s="11">
        <v>8.3000000000000004E-2</v>
      </c>
      <c r="AB92" s="12">
        <v>105.50400319074569</v>
      </c>
      <c r="AC92" s="11">
        <v>8.3000000000000004E-2</v>
      </c>
      <c r="AD92" s="12">
        <v>114.38597664723513</v>
      </c>
      <c r="AE92" s="11"/>
      <c r="AF92" s="12"/>
    </row>
    <row r="93" spans="25:32">
      <c r="Y93" s="11">
        <v>8.4000000000000005E-2</v>
      </c>
      <c r="Z93" s="12">
        <v>111.78400778266688</v>
      </c>
      <c r="AA93" s="11">
        <v>8.4000000000000005E-2</v>
      </c>
      <c r="AB93" s="12">
        <v>105.50400271995483</v>
      </c>
      <c r="AC93" s="11">
        <v>8.4000000000000005E-2</v>
      </c>
      <c r="AD93" s="12">
        <v>114.39170829440914</v>
      </c>
      <c r="AE93" s="11"/>
      <c r="AF93" s="12"/>
    </row>
    <row r="94" spans="25:32">
      <c r="Y94" s="11">
        <v>8.5000000000000006E-2</v>
      </c>
      <c r="Z94" s="12">
        <v>111.78400665444286</v>
      </c>
      <c r="AA94" s="11">
        <v>8.5000000000000006E-2</v>
      </c>
      <c r="AB94" s="12">
        <v>105.5040022983876</v>
      </c>
      <c r="AC94" s="11">
        <v>8.5000000000000006E-2</v>
      </c>
      <c r="AD94" s="12">
        <v>114.39727907122963</v>
      </c>
      <c r="AE94" s="11"/>
      <c r="AF94" s="12"/>
    </row>
    <row r="95" spans="25:32">
      <c r="Y95" s="11">
        <v>8.6000000000000007E-2</v>
      </c>
      <c r="Z95" s="12">
        <v>111.78400564253826</v>
      </c>
      <c r="AA95" s="11">
        <v>8.6000000000000007E-2</v>
      </c>
      <c r="AB95" s="12">
        <v>105.50400192321845</v>
      </c>
      <c r="AC95" s="11">
        <v>8.6000000000000007E-2</v>
      </c>
      <c r="AD95" s="12">
        <v>114.40268554008743</v>
      </c>
      <c r="AE95" s="11"/>
      <c r="AF95" s="12"/>
    </row>
    <row r="96" spans="25:32">
      <c r="Y96" s="11">
        <v>8.7000000000000008E-2</v>
      </c>
      <c r="Z96" s="12">
        <v>111.78400474026043</v>
      </c>
      <c r="AA96" s="11">
        <v>8.7000000000000008E-2</v>
      </c>
      <c r="AB96" s="12">
        <v>105.50400159164244</v>
      </c>
      <c r="AC96" s="11">
        <v>8.7000000000000008E-2</v>
      </c>
      <c r="AD96" s="12">
        <v>114.40792422223039</v>
      </c>
      <c r="AE96" s="11"/>
      <c r="AF96" s="12"/>
    </row>
    <row r="97" spans="25:32">
      <c r="Y97" s="11">
        <v>8.7999999999999995E-2</v>
      </c>
      <c r="Z97" s="12">
        <v>111.78400394098318</v>
      </c>
      <c r="AA97" s="11">
        <v>8.7999999999999995E-2</v>
      </c>
      <c r="AB97" s="12">
        <v>105.50400130087368</v>
      </c>
      <c r="AC97" s="11">
        <v>8.7999999999999995E-2</v>
      </c>
      <c r="AD97" s="12">
        <v>114.41299155340295</v>
      </c>
      <c r="AE97" s="11"/>
      <c r="AF97" s="12"/>
    </row>
    <row r="98" spans="25:32">
      <c r="Y98" s="11">
        <v>8.8999999999999996E-2</v>
      </c>
      <c r="Z98" s="12">
        <v>111.78400323814486</v>
      </c>
      <c r="AA98" s="11">
        <v>8.8999999999999996E-2</v>
      </c>
      <c r="AB98" s="12">
        <v>105.50400104814597</v>
      </c>
      <c r="AC98" s="11">
        <v>8.8999999999999996E-2</v>
      </c>
      <c r="AD98" s="12">
        <v>114.41788386926478</v>
      </c>
      <c r="AE98" s="11"/>
      <c r="AF98" s="12"/>
    </row>
    <row r="99" spans="25:32">
      <c r="Y99" s="11">
        <v>0.09</v>
      </c>
      <c r="Z99" s="12">
        <v>111.784002625249</v>
      </c>
      <c r="AA99" s="11">
        <v>0.09</v>
      </c>
      <c r="AB99" s="12">
        <v>105.50400083071217</v>
      </c>
      <c r="AC99" s="11">
        <v>0.09</v>
      </c>
      <c r="AD99" s="12">
        <v>114.42259740099252</v>
      </c>
      <c r="AE99" s="11"/>
      <c r="AF99" s="12"/>
    </row>
    <row r="100" spans="25:32">
      <c r="Y100" s="11">
        <v>9.0999999999999998E-2</v>
      </c>
      <c r="Z100" s="12">
        <v>111.78400209586316</v>
      </c>
      <c r="AA100" s="11">
        <v>9.0999999999999998E-2</v>
      </c>
      <c r="AB100" s="12">
        <v>105.50400064584318</v>
      </c>
      <c r="AC100" s="11">
        <v>9.0999999999999998E-2</v>
      </c>
      <c r="AD100" s="12">
        <v>114.42712827071108</v>
      </c>
      <c r="AE100" s="11"/>
      <c r="AF100" s="12"/>
    </row>
    <row r="101" spans="25:32">
      <c r="Y101" s="11">
        <v>9.1999999999999998E-2</v>
      </c>
      <c r="Z101" s="12">
        <v>111.78400164361855</v>
      </c>
      <c r="AA101" s="11">
        <v>9.1999999999999998E-2</v>
      </c>
      <c r="AB101" s="12">
        <v>105.50400049083004</v>
      </c>
      <c r="AC101" s="11">
        <v>9.1999999999999998E-2</v>
      </c>
      <c r="AD101" s="12">
        <v>114.43147248669877</v>
      </c>
      <c r="AE101" s="11"/>
      <c r="AF101" s="12"/>
    </row>
    <row r="102" spans="25:32">
      <c r="Y102" s="11">
        <v>9.2999999999999999E-2</v>
      </c>
      <c r="Z102" s="12">
        <v>111.78400126220978</v>
      </c>
      <c r="AA102" s="11">
        <v>9.2999999999999999E-2</v>
      </c>
      <c r="AB102" s="12">
        <v>105.50400036298286</v>
      </c>
      <c r="AC102" s="11">
        <v>9.2999999999999999E-2</v>
      </c>
      <c r="AD102" s="12">
        <v>114.43562593831214</v>
      </c>
      <c r="AE102" s="11"/>
      <c r="AF102" s="12"/>
    </row>
    <row r="103" spans="25:32">
      <c r="Y103" s="11">
        <v>9.4E-2</v>
      </c>
      <c r="Z103" s="12">
        <v>111.78400094539342</v>
      </c>
      <c r="AA103" s="11">
        <v>9.4E-2</v>
      </c>
      <c r="AB103" s="12">
        <v>105.50400025962927</v>
      </c>
      <c r="AC103" s="11">
        <v>9.4E-2</v>
      </c>
      <c r="AD103" s="12">
        <v>114.43958439057141</v>
      </c>
      <c r="AE103" s="11"/>
      <c r="AF103" s="12"/>
    </row>
    <row r="104" spans="25:32">
      <c r="Y104" s="11">
        <v>9.5000000000000001E-2</v>
      </c>
      <c r="Z104" s="12">
        <v>111.78400068698843</v>
      </c>
      <c r="AA104" s="11">
        <v>9.5000000000000001E-2</v>
      </c>
      <c r="AB104" s="12">
        <v>105.50400017811599</v>
      </c>
      <c r="AC104" s="11">
        <v>9.5000000000000001E-2</v>
      </c>
      <c r="AD104" s="12">
        <v>114.44334347834398</v>
      </c>
      <c r="AE104" s="11"/>
      <c r="AF104" s="12"/>
    </row>
    <row r="105" spans="25:32">
      <c r="Y105" s="11">
        <v>9.6000000000000002E-2</v>
      </c>
      <c r="Z105" s="12">
        <v>111.78400048087505</v>
      </c>
      <c r="AA105" s="11">
        <v>9.6000000000000002E-2</v>
      </c>
      <c r="AB105" s="12">
        <v>105.50400011580882</v>
      </c>
      <c r="AC105" s="11">
        <v>9.6000000000000002E-2</v>
      </c>
      <c r="AD105" s="12">
        <v>114.44689870006289</v>
      </c>
      <c r="AE105" s="11"/>
      <c r="AF105" s="12"/>
    </row>
    <row r="106" spans="25:32">
      <c r="Y106" s="11">
        <v>9.7000000000000003E-2</v>
      </c>
      <c r="Z106" s="12">
        <v>111.78400032099472</v>
      </c>
      <c r="AA106" s="11">
        <v>9.7000000000000003E-2</v>
      </c>
      <c r="AB106" s="12">
        <v>105.50400007009159</v>
      </c>
      <c r="AC106" s="11">
        <v>9.7000000000000003E-2</v>
      </c>
      <c r="AD106" s="12">
        <v>114.45044628341792</v>
      </c>
      <c r="AE106" s="11"/>
      <c r="AF106" s="12"/>
    </row>
    <row r="107" spans="25:32">
      <c r="Y107" s="11">
        <v>9.8000000000000004E-2</v>
      </c>
      <c r="Z107" s="12">
        <v>111.78400020134933</v>
      </c>
      <c r="AA107" s="11">
        <v>9.8000000000000004E-2</v>
      </c>
      <c r="AB107" s="12">
        <v>105.50400003836563</v>
      </c>
      <c r="AC107" s="11">
        <v>9.8000000000000004E-2</v>
      </c>
      <c r="AD107" s="12">
        <v>114.45349704344048</v>
      </c>
      <c r="AE107" s="11"/>
      <c r="AF107" s="12"/>
    </row>
    <row r="108" spans="25:32">
      <c r="Y108" s="11">
        <v>9.9000000000000005E-2</v>
      </c>
      <c r="Z108" s="12">
        <v>111.78400011600064</v>
      </c>
      <c r="AA108" s="11">
        <v>9.9000000000000005E-2</v>
      </c>
      <c r="AB108" s="12">
        <v>105.50413929980678</v>
      </c>
      <c r="AC108" s="11">
        <v>9.9000000000000005E-2</v>
      </c>
      <c r="AD108" s="12">
        <v>114.45638965317838</v>
      </c>
      <c r="AE108" s="11"/>
      <c r="AF108" s="12"/>
    </row>
    <row r="109" spans="25:32">
      <c r="AA109" s="11">
        <v>0.1</v>
      </c>
      <c r="AB109" s="12">
        <v>105.50407116754715</v>
      </c>
      <c r="AC109" s="11">
        <v>0.1</v>
      </c>
      <c r="AD109" s="12">
        <v>114.45930226142738</v>
      </c>
      <c r="AE109" s="11"/>
      <c r="AF109" s="12"/>
    </row>
    <row r="110" spans="25:32">
      <c r="AA110" s="11">
        <v>0.10100000000000001</v>
      </c>
      <c r="AB110" s="12">
        <v>105.50402571772928</v>
      </c>
      <c r="AC110" s="11">
        <v>0.10100000000000001</v>
      </c>
      <c r="AD110" s="12">
        <v>114.46221074250599</v>
      </c>
      <c r="AE110" s="11"/>
      <c r="AF110" s="12"/>
    </row>
    <row r="111" spans="25:32">
      <c r="AA111" s="11">
        <v>0.10200000000000001</v>
      </c>
      <c r="AB111" s="12">
        <v>105.50400292638838</v>
      </c>
      <c r="AC111" s="11">
        <v>0.10200000000000001</v>
      </c>
      <c r="AD111" s="12">
        <v>114.46511485131222</v>
      </c>
      <c r="AE111" s="11"/>
      <c r="AF111" s="12"/>
    </row>
    <row r="112" spans="25:32">
      <c r="AA112" s="11">
        <v>0.10300000000000001</v>
      </c>
      <c r="AB112" s="12">
        <v>105.50400270837505</v>
      </c>
      <c r="AC112" s="11">
        <v>0.10300000000000001</v>
      </c>
      <c r="AD112" s="12">
        <v>114.46801443007682</v>
      </c>
      <c r="AE112" s="11"/>
      <c r="AF112" s="12"/>
    </row>
    <row r="113" spans="27:32">
      <c r="AA113" s="11">
        <v>0.10400000000000001</v>
      </c>
      <c r="AB113" s="12">
        <v>105.50402497896974</v>
      </c>
      <c r="AC113" s="11">
        <v>0.10400000000000001</v>
      </c>
      <c r="AD113" s="12">
        <v>114.47090932086131</v>
      </c>
      <c r="AE113" s="11"/>
      <c r="AF113" s="12"/>
    </row>
    <row r="114" spans="27:32">
      <c r="AA114" s="11">
        <v>0.105</v>
      </c>
      <c r="AB114" s="12">
        <v>105.50406965388767</v>
      </c>
      <c r="AC114" s="11">
        <v>0.105</v>
      </c>
      <c r="AD114" s="12">
        <v>114.47379936551397</v>
      </c>
      <c r="AE114" s="11"/>
      <c r="AF114" s="12"/>
    </row>
    <row r="115" spans="27:32">
      <c r="AA115" s="11">
        <v>0.106</v>
      </c>
      <c r="AB115" s="12">
        <v>105.50413664927683</v>
      </c>
      <c r="AC115" s="11">
        <v>0.106</v>
      </c>
      <c r="AD115" s="12">
        <v>114.47668440565455</v>
      </c>
      <c r="AE115" s="11"/>
      <c r="AF115" s="12"/>
    </row>
    <row r="116" spans="27:32">
      <c r="AA116" s="11">
        <v>0.107</v>
      </c>
      <c r="AB116" s="12">
        <v>105.50399996272466</v>
      </c>
      <c r="AC116" s="11">
        <v>0.107</v>
      </c>
      <c r="AD116" s="12">
        <v>114.47954101228761</v>
      </c>
      <c r="AE116" s="11"/>
      <c r="AF116" s="12"/>
    </row>
    <row r="117" spans="27:32">
      <c r="AA117" s="11">
        <v>0.108</v>
      </c>
      <c r="AB117" s="12">
        <v>105.50399993196478</v>
      </c>
      <c r="AC117" s="11">
        <v>0.108</v>
      </c>
      <c r="AD117" s="12">
        <v>114.48239268542747</v>
      </c>
      <c r="AE117" s="11"/>
      <c r="AF117" s="12"/>
    </row>
    <row r="118" spans="27:32">
      <c r="AA118" s="11">
        <v>0.109</v>
      </c>
      <c r="AB118" s="12">
        <v>105.50399988780696</v>
      </c>
      <c r="AC118" s="11">
        <v>0.109</v>
      </c>
      <c r="AD118" s="12">
        <v>114.48399839963683</v>
      </c>
      <c r="AE118" s="11"/>
      <c r="AF118" s="12"/>
    </row>
    <row r="119" spans="27:32">
      <c r="AA119" s="11">
        <v>0.11</v>
      </c>
      <c r="AB119" s="12">
        <v>105.50399982785295</v>
      </c>
      <c r="AC119" s="11">
        <v>0.11</v>
      </c>
      <c r="AD119" s="12">
        <v>114.48399908848913</v>
      </c>
      <c r="AE119" s="11"/>
      <c r="AF119" s="12"/>
    </row>
    <row r="120" spans="27:32">
      <c r="AA120" s="11">
        <v>0.111</v>
      </c>
      <c r="AB120" s="12">
        <v>105.50399974973317</v>
      </c>
      <c r="AC120" s="11">
        <v>0.111</v>
      </c>
      <c r="AD120" s="12">
        <v>114.48399834508186</v>
      </c>
      <c r="AE120" s="11"/>
      <c r="AF120" s="12"/>
    </row>
    <row r="121" spans="27:32">
      <c r="AA121" s="11">
        <v>0.112</v>
      </c>
      <c r="AB121" s="12">
        <v>105.50399965109548</v>
      </c>
      <c r="AC121" s="11">
        <v>0.112</v>
      </c>
      <c r="AD121" s="12">
        <v>114.48399732999262</v>
      </c>
      <c r="AE121" s="11"/>
      <c r="AF121" s="12"/>
    </row>
    <row r="122" spans="27:32">
      <c r="AA122" s="11">
        <v>0.113</v>
      </c>
      <c r="AB122" s="12">
        <v>105.50399952960208</v>
      </c>
      <c r="AC122" s="11">
        <v>0.113</v>
      </c>
      <c r="AD122" s="12">
        <v>114.48399604017614</v>
      </c>
      <c r="AE122" s="11"/>
      <c r="AF122" s="12"/>
    </row>
    <row r="123" spans="27:32">
      <c r="AA123" s="11">
        <v>0.114</v>
      </c>
      <c r="AB123" s="12">
        <v>105.50399938293481</v>
      </c>
      <c r="AC123" s="11">
        <v>0.114</v>
      </c>
      <c r="AD123" s="12">
        <v>114.48399449134006</v>
      </c>
      <c r="AE123" s="11"/>
      <c r="AF123" s="12"/>
    </row>
    <row r="124" spans="27:32">
      <c r="AA124" s="11">
        <v>0.115</v>
      </c>
      <c r="AB124" s="12">
        <v>105.5039992087903</v>
      </c>
      <c r="AC124" s="11">
        <v>0.115</v>
      </c>
      <c r="AD124" s="12">
        <v>114.48399271915061</v>
      </c>
      <c r="AE124" s="11"/>
      <c r="AF124" s="12"/>
    </row>
    <row r="125" spans="27:32">
      <c r="AA125" s="11">
        <v>0.11600000000000001</v>
      </c>
      <c r="AB125" s="12">
        <v>105.50399900488171</v>
      </c>
    </row>
    <row r="126" spans="27:32">
      <c r="AA126" s="11">
        <v>0.11700000000000001</v>
      </c>
      <c r="AB126" s="12">
        <v>105.50399876893853</v>
      </c>
    </row>
    <row r="127" spans="27:32">
      <c r="AA127" s="11">
        <v>0.11800000000000001</v>
      </c>
      <c r="AB127" s="12">
        <v>105.50399849870783</v>
      </c>
    </row>
    <row r="128" spans="27:32">
      <c r="AA128" s="11">
        <v>0.11900000000000001</v>
      </c>
      <c r="AB128" s="12">
        <v>105.50399819195042</v>
      </c>
    </row>
    <row r="129" spans="27:28">
      <c r="AA129" s="11">
        <v>0.12</v>
      </c>
      <c r="AB129" s="12">
        <v>105.50399784644569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AF129"/>
  <sheetViews>
    <sheetView tabSelected="1" zoomScaleNormal="100" workbookViewId="0">
      <selection activeCell="E21" sqref="E21"/>
    </sheetView>
  </sheetViews>
  <sheetFormatPr defaultRowHeight="15"/>
  <cols>
    <col min="2" max="2" width="10.7109375" style="1" customWidth="1"/>
    <col min="3" max="3" width="12.140625" bestFit="1" customWidth="1"/>
    <col min="6" max="6" width="11" customWidth="1"/>
    <col min="7" max="7" width="9" bestFit="1" customWidth="1"/>
    <col min="8" max="8" width="7.7109375" bestFit="1" customWidth="1"/>
    <col min="9" max="9" width="7.140625" bestFit="1" customWidth="1"/>
    <col min="10" max="10" width="8" bestFit="1" customWidth="1"/>
    <col min="11" max="11" width="7.140625" bestFit="1" customWidth="1"/>
    <col min="12" max="12" width="7.85546875" bestFit="1" customWidth="1"/>
  </cols>
  <sheetData>
    <row r="1" spans="1:32" s="34" customFormat="1" ht="18.75">
      <c r="A1" s="32" t="s">
        <v>68</v>
      </c>
      <c r="B1" s="33"/>
    </row>
    <row r="3" spans="1:32">
      <c r="A3" s="35" t="s">
        <v>44</v>
      </c>
      <c r="B3" s="36"/>
      <c r="C3" s="35" t="s">
        <v>46</v>
      </c>
      <c r="D3" s="25"/>
      <c r="K3" s="25"/>
      <c r="L3" s="26" t="s">
        <v>50</v>
      </c>
      <c r="M3" s="26" t="s">
        <v>49</v>
      </c>
      <c r="N3" s="26" t="s">
        <v>47</v>
      </c>
      <c r="O3" s="26" t="s">
        <v>48</v>
      </c>
    </row>
    <row r="4" spans="1:32" ht="18">
      <c r="A4" s="2" t="s">
        <v>16</v>
      </c>
      <c r="B4" s="3">
        <v>40</v>
      </c>
      <c r="C4" s="9" t="s">
        <v>36</v>
      </c>
      <c r="D4" s="3">
        <v>30</v>
      </c>
      <c r="K4" s="2" t="s">
        <v>40</v>
      </c>
      <c r="L4" s="1"/>
      <c r="M4" s="23">
        <f>D5/2</f>
        <v>25</v>
      </c>
      <c r="N4" s="23">
        <f>(-D9+SQRT(D9^2+4*D9*D8))/2</f>
        <v>8.0564235687297252</v>
      </c>
      <c r="O4" s="23">
        <f>D6*B9/(0.8*D4*B4)</f>
        <v>2.0833333333333335</v>
      </c>
    </row>
    <row r="5" spans="1:32" ht="18">
      <c r="A5" s="2" t="s">
        <v>55</v>
      </c>
      <c r="B5" s="3">
        <v>2</v>
      </c>
      <c r="C5" s="9" t="s">
        <v>37</v>
      </c>
      <c r="D5" s="3">
        <v>50</v>
      </c>
      <c r="K5" s="2" t="s">
        <v>54</v>
      </c>
      <c r="M5" s="27">
        <f>M4/$D$8</f>
        <v>0.53191489361702127</v>
      </c>
      <c r="N5" s="27">
        <f>N4/$D$8</f>
        <v>0.17141326741978138</v>
      </c>
      <c r="O5" s="27">
        <f>O4/$D$8</f>
        <v>4.4326241134751775E-2</v>
      </c>
    </row>
    <row r="6" spans="1:32" ht="18.75">
      <c r="A6" s="9" t="s">
        <v>23</v>
      </c>
      <c r="B6" s="3">
        <v>3.5000000000000001E-3</v>
      </c>
      <c r="C6" s="2" t="s">
        <v>38</v>
      </c>
      <c r="D6" s="3">
        <v>5</v>
      </c>
      <c r="K6" s="9" t="s">
        <v>42</v>
      </c>
      <c r="L6" s="6">
        <v>0</v>
      </c>
      <c r="M6" s="6">
        <f>C20</f>
        <v>1.3612903225806449E-3</v>
      </c>
      <c r="N6" s="6">
        <f>E20</f>
        <v>7.5100709686183867E-3</v>
      </c>
      <c r="O6" s="6">
        <f>G20</f>
        <v>1.8666666666666668E-2</v>
      </c>
      <c r="P6" s="9"/>
    </row>
    <row r="7" spans="1:32" ht="18">
      <c r="A7" s="2" t="s">
        <v>52</v>
      </c>
      <c r="B7" s="1">
        <f>B4</f>
        <v>40</v>
      </c>
      <c r="C7" s="9" t="s">
        <v>56</v>
      </c>
      <c r="D7" s="3">
        <v>3</v>
      </c>
      <c r="K7" s="9" t="s">
        <v>21</v>
      </c>
      <c r="L7" s="7">
        <v>0</v>
      </c>
      <c r="M7" s="7">
        <f>C27</f>
        <v>186.04690123834274</v>
      </c>
      <c r="N7" s="7">
        <f>E27</f>
        <v>414.41881798188882</v>
      </c>
      <c r="O7" s="7">
        <f>G27</f>
        <v>403</v>
      </c>
      <c r="P7" s="24"/>
    </row>
    <row r="8" spans="1:32">
      <c r="A8" s="35" t="s">
        <v>45</v>
      </c>
      <c r="B8" s="25"/>
      <c r="C8" s="9" t="s">
        <v>39</v>
      </c>
      <c r="D8" s="13">
        <f>D5-D7</f>
        <v>47</v>
      </c>
      <c r="Y8" s="19"/>
      <c r="AA8" s="19"/>
      <c r="AB8" s="14"/>
      <c r="AC8" s="19"/>
      <c r="AD8" s="19"/>
      <c r="AE8" s="19"/>
      <c r="AF8" s="19"/>
    </row>
    <row r="9" spans="1:32" ht="18">
      <c r="A9" s="2" t="s">
        <v>15</v>
      </c>
      <c r="B9" s="3">
        <v>400</v>
      </c>
      <c r="C9" s="9" t="s">
        <v>51</v>
      </c>
      <c r="D9" s="5">
        <f>2*B12*D6/D4</f>
        <v>1.6666666666666667</v>
      </c>
      <c r="Y9" s="11"/>
      <c r="Z9" s="12"/>
      <c r="AA9" s="11"/>
      <c r="AB9" s="12"/>
      <c r="AC9" s="11"/>
      <c r="AD9" s="12"/>
      <c r="AE9" s="11"/>
      <c r="AF9" s="12"/>
    </row>
    <row r="10" spans="1:32" ht="18">
      <c r="A10" s="9" t="s">
        <v>34</v>
      </c>
      <c r="B10" s="3">
        <v>0.06</v>
      </c>
      <c r="C10" s="2" t="s">
        <v>26</v>
      </c>
      <c r="D10" s="7">
        <f>D4*D5*(B4/10)+2*D6*(B9/10)</f>
        <v>6400</v>
      </c>
      <c r="V10" s="19"/>
      <c r="Y10" s="11"/>
      <c r="Z10" s="12"/>
      <c r="AA10" s="11"/>
      <c r="AB10" s="12"/>
      <c r="AC10" s="11"/>
      <c r="AD10" s="12"/>
      <c r="AE10" s="11"/>
      <c r="AF10" s="12"/>
    </row>
    <row r="11" spans="1:32" ht="18">
      <c r="A11" s="2" t="s">
        <v>14</v>
      </c>
      <c r="B11" s="3">
        <v>200</v>
      </c>
      <c r="C11" s="2" t="s">
        <v>67</v>
      </c>
      <c r="D11" s="3">
        <v>1800</v>
      </c>
      <c r="Q11" s="9"/>
      <c r="S11" s="28"/>
      <c r="T11" s="28"/>
      <c r="U11" s="28"/>
      <c r="V11" s="19"/>
      <c r="Y11" s="11"/>
      <c r="Z11" s="12"/>
      <c r="AA11" s="11"/>
      <c r="AB11" s="12"/>
      <c r="AC11" s="11"/>
      <c r="AD11" s="12"/>
      <c r="AE11" s="11"/>
      <c r="AF11" s="12"/>
    </row>
    <row r="12" spans="1:32" ht="18">
      <c r="A12" s="2" t="s">
        <v>53</v>
      </c>
      <c r="B12" s="5">
        <f>B11/B7</f>
        <v>5</v>
      </c>
      <c r="Q12" s="9"/>
      <c r="S12" s="29"/>
      <c r="T12" s="29"/>
      <c r="U12" s="29"/>
      <c r="Y12" s="11"/>
      <c r="Z12" s="12"/>
      <c r="AA12" s="11"/>
      <c r="AB12" s="12"/>
      <c r="AC12" s="11"/>
      <c r="AD12" s="12"/>
      <c r="AE12" s="11"/>
      <c r="AF12" s="12"/>
    </row>
    <row r="13" spans="1:32">
      <c r="Q13" s="9"/>
      <c r="S13" s="28"/>
      <c r="T13" s="28"/>
      <c r="U13" s="28"/>
      <c r="V13" s="19"/>
      <c r="Y13" s="11"/>
      <c r="Z13" s="12"/>
      <c r="AA13" s="11"/>
      <c r="AB13" s="12"/>
      <c r="AC13" s="11"/>
      <c r="AD13" s="12"/>
      <c r="AE13" s="11"/>
      <c r="AF13" s="12"/>
    </row>
    <row r="14" spans="1:32">
      <c r="B14" s="35" t="s">
        <v>49</v>
      </c>
      <c r="C14" s="36"/>
      <c r="D14" s="35" t="s">
        <v>47</v>
      </c>
      <c r="E14" s="25"/>
      <c r="F14" s="35" t="s">
        <v>48</v>
      </c>
      <c r="G14" s="25"/>
      <c r="Q14" s="9"/>
      <c r="S14" s="29"/>
      <c r="T14" s="29"/>
      <c r="U14" s="29"/>
      <c r="Y14" s="11"/>
      <c r="Z14" s="12"/>
      <c r="AA14" s="11"/>
      <c r="AB14" s="12"/>
      <c r="AC14" s="11"/>
      <c r="AD14" s="12"/>
      <c r="AE14" s="11"/>
      <c r="AF14" s="12"/>
    </row>
    <row r="15" spans="1:32" ht="18">
      <c r="A15" s="38">
        <f>D5/2</f>
        <v>25</v>
      </c>
      <c r="B15" s="9" t="s">
        <v>81</v>
      </c>
      <c r="C15" s="44">
        <f>(2*$D$11/($D$4/100*$D$5/100*$B$7*10^6)-(1+$D$9/$D$5)*C19)/(1+$D$9/$D$5)</f>
        <v>6.3064516129032245E-4</v>
      </c>
      <c r="D15" s="9" t="s">
        <v>81</v>
      </c>
      <c r="E15" s="44">
        <f>(-E31+SQRT(E31^2-4*E30*E32))/(2*E30)</f>
        <v>1.5297333552506418E-3</v>
      </c>
      <c r="F15" s="9" t="s">
        <v>80</v>
      </c>
      <c r="G15" s="37">
        <f>B6</f>
        <v>3.5000000000000001E-3</v>
      </c>
      <c r="Q15" s="9"/>
      <c r="S15" s="28"/>
      <c r="T15" s="28"/>
      <c r="U15" s="28"/>
      <c r="V15" s="19"/>
      <c r="Y15" s="11"/>
      <c r="Z15" s="12"/>
      <c r="AA15" s="11"/>
      <c r="AB15" s="12"/>
      <c r="AC15" s="11"/>
      <c r="AD15" s="12"/>
      <c r="AE15" s="11"/>
      <c r="AF15" s="12"/>
    </row>
    <row r="16" spans="1:32" ht="18">
      <c r="A16" s="38">
        <f>D5/2-D7</f>
        <v>22</v>
      </c>
      <c r="B16" s="9" t="s">
        <v>82</v>
      </c>
      <c r="C16" s="43">
        <f>C$17+C$20*($A16/100)</f>
        <v>5.8980645161290312E-4</v>
      </c>
      <c r="D16" s="9" t="s">
        <v>82</v>
      </c>
      <c r="E16" s="43">
        <f>E$17+E$20*($A16/100)</f>
        <v>1.3044312261920902E-3</v>
      </c>
      <c r="F16" s="9" t="s">
        <v>82</v>
      </c>
      <c r="G16" s="43">
        <f>G$17+G$20*($A16/100)</f>
        <v>2.9399999999999999E-3</v>
      </c>
      <c r="Q16" s="9"/>
      <c r="S16" s="29"/>
      <c r="T16" s="29"/>
      <c r="U16" s="29"/>
      <c r="Y16" s="11"/>
      <c r="Z16" s="12"/>
      <c r="AA16" s="11"/>
      <c r="AB16" s="12"/>
      <c r="AC16" s="11"/>
      <c r="AD16" s="12"/>
      <c r="AE16" s="11"/>
      <c r="AF16" s="12"/>
    </row>
    <row r="17" spans="1:32" ht="18">
      <c r="A17" s="38">
        <v>0</v>
      </c>
      <c r="B17" s="9" t="s">
        <v>83</v>
      </c>
      <c r="C17" s="43">
        <f>(C15+C19)/2</f>
        <v>2.9032258064516121E-4</v>
      </c>
      <c r="D17" s="9" t="s">
        <v>83</v>
      </c>
      <c r="E17" s="43">
        <f>E15*(1-$D$5/2/$D$8)+E18*$D$5/2/$D$8</f>
        <v>-3.4778438690395491E-4</v>
      </c>
      <c r="F17" s="9" t="s">
        <v>83</v>
      </c>
      <c r="G17" s="43">
        <f>G15*(1-$D$5/2/$D$8)+G18*$D$5/2/$D$8</f>
        <v>-1.1666666666666674E-3</v>
      </c>
      <c r="Q17" s="9"/>
      <c r="S17" s="28"/>
      <c r="T17" s="28"/>
      <c r="U17" s="28"/>
      <c r="V17" s="19"/>
      <c r="Y17" s="11"/>
      <c r="Z17" s="12"/>
      <c r="AA17" s="11"/>
      <c r="AB17" s="12"/>
      <c r="AC17" s="11"/>
      <c r="AD17" s="12"/>
      <c r="AE17" s="11"/>
      <c r="AF17" s="12"/>
    </row>
    <row r="18" spans="1:32" ht="18">
      <c r="A18" s="38">
        <f>-D5/2+D7</f>
        <v>-22</v>
      </c>
      <c r="B18" s="9" t="s">
        <v>85</v>
      </c>
      <c r="C18" s="43">
        <f>C$17+C$20*($A18/100)</f>
        <v>-9.1612903225806895E-6</v>
      </c>
      <c r="D18" s="9" t="s">
        <v>84</v>
      </c>
      <c r="E18" s="37">
        <f>-B9/(B11*10^3)</f>
        <v>-2E-3</v>
      </c>
      <c r="F18" s="9" t="s">
        <v>85</v>
      </c>
      <c r="G18" s="44">
        <f>IF(G36&lt;B9/(B11*10^3),G33,G15*(D11-0.8*D4*D8*10^-4*B4*10^3)/D11)</f>
        <v>-5.2733333333333339E-3</v>
      </c>
      <c r="Q18" s="9"/>
      <c r="S18" s="29"/>
      <c r="T18" s="29"/>
      <c r="U18" s="29"/>
      <c r="Y18" s="11"/>
      <c r="Z18" s="12"/>
      <c r="AA18" s="11"/>
      <c r="AB18" s="12"/>
      <c r="AC18" s="11"/>
      <c r="AD18" s="12"/>
      <c r="AE18" s="11"/>
      <c r="AF18" s="12"/>
    </row>
    <row r="19" spans="1:32" ht="18">
      <c r="A19" s="38">
        <f>-D5/2</f>
        <v>-25</v>
      </c>
      <c r="B19" s="9" t="s">
        <v>86</v>
      </c>
      <c r="C19" s="37">
        <f>-B5/(B7*1000)</f>
        <v>-5.0000000000000002E-5</v>
      </c>
      <c r="D19" s="9" t="s">
        <v>86</v>
      </c>
      <c r="E19" s="43">
        <f>E$17+E$20*($A19/100)</f>
        <v>-2.2253021290585514E-3</v>
      </c>
      <c r="F19" s="9" t="s">
        <v>86</v>
      </c>
      <c r="G19" s="43">
        <f>G$17+G$20*($A19/100)</f>
        <v>-5.8333333333333345E-3</v>
      </c>
      <c r="Y19" s="11"/>
      <c r="Z19" s="12"/>
      <c r="AA19" s="11"/>
      <c r="AB19" s="12"/>
      <c r="AC19" s="11"/>
      <c r="AD19" s="12"/>
      <c r="AE19" s="11"/>
      <c r="AF19" s="12"/>
    </row>
    <row r="20" spans="1:32" ht="16.5">
      <c r="B20" s="9" t="s">
        <v>42</v>
      </c>
      <c r="C20" s="6">
        <f>(C15-C19)/($D$5/100)</f>
        <v>1.3612903225806449E-3</v>
      </c>
      <c r="D20" s="9" t="s">
        <v>42</v>
      </c>
      <c r="E20" s="6">
        <f>(E15-E18)/(D8/100)</f>
        <v>7.5100709686183867E-3</v>
      </c>
      <c r="F20" s="9" t="s">
        <v>42</v>
      </c>
      <c r="G20" s="6">
        <f>(G15-G18)/(D8/100)</f>
        <v>1.8666666666666668E-2</v>
      </c>
      <c r="H20" s="9" t="s">
        <v>57</v>
      </c>
      <c r="I20" s="7">
        <f>G20/E20</f>
        <v>2.4855513010019847</v>
      </c>
      <c r="Y20" s="11"/>
      <c r="Z20" s="12"/>
      <c r="AA20" s="11"/>
      <c r="AB20" s="12"/>
      <c r="AC20" s="11"/>
      <c r="AD20" s="12"/>
      <c r="AE20" s="11"/>
      <c r="AF20" s="12"/>
    </row>
    <row r="21" spans="1:32" ht="18">
      <c r="B21" s="2" t="s">
        <v>74</v>
      </c>
      <c r="C21" s="23">
        <f>$D$5*C15/(C15-C19)</f>
        <v>46.327014218009474</v>
      </c>
      <c r="D21" s="2" t="s">
        <v>75</v>
      </c>
      <c r="E21" s="23">
        <f>$D$8*E15/(E15-E18)</f>
        <v>20.369093203550165</v>
      </c>
      <c r="F21" s="2" t="s">
        <v>79</v>
      </c>
      <c r="G21" s="23">
        <f>$D$8*G15/(G15-G18)</f>
        <v>18.75</v>
      </c>
      <c r="Y21" s="11"/>
      <c r="Z21" s="12"/>
      <c r="AA21" s="11"/>
      <c r="AB21" s="12"/>
      <c r="AC21" s="11"/>
      <c r="AD21" s="12"/>
      <c r="AE21" s="11"/>
      <c r="AF21" s="12"/>
    </row>
    <row r="22" spans="1:32">
      <c r="A22" s="22"/>
      <c r="B22" s="2" t="s">
        <v>69</v>
      </c>
      <c r="C22" s="7">
        <f>(($B$7*10^6)*($D$4*$D$5*10^-4)/2)*(C15^2/(C15-C19))</f>
        <v>1752.9544412169389</v>
      </c>
      <c r="D22" s="2" t="s">
        <v>69</v>
      </c>
      <c r="E22" s="7">
        <f>(($B$7*10^6)*($D$4*$D$8*10^-4)/2)*(E15^2/(E15-E18))</f>
        <v>1869.5568773807906</v>
      </c>
      <c r="F22" s="2" t="s">
        <v>69</v>
      </c>
      <c r="G22" s="7">
        <f>0.8*(D4*G21)*B4/10</f>
        <v>1800</v>
      </c>
      <c r="Y22" s="11"/>
      <c r="Z22" s="12"/>
      <c r="AA22" s="11"/>
      <c r="AB22" s="12"/>
      <c r="AC22" s="11"/>
      <c r="AD22" s="12"/>
      <c r="AE22" s="11"/>
      <c r="AF22" s="12"/>
    </row>
    <row r="23" spans="1:32">
      <c r="A23" s="22"/>
      <c r="B23" s="2" t="s">
        <v>73</v>
      </c>
      <c r="C23" s="7">
        <f>((B7*10^6)*(D4*D5*10^-4)/2)*C19*(1-C15/(C15-C19))</f>
        <v>-11.01895734597157</v>
      </c>
      <c r="D23" s="2" t="s">
        <v>73</v>
      </c>
      <c r="E23" s="1">
        <v>0</v>
      </c>
      <c r="F23" s="2" t="s">
        <v>73</v>
      </c>
      <c r="G23" s="1">
        <v>0</v>
      </c>
      <c r="Y23" s="11"/>
      <c r="Z23" s="12"/>
      <c r="AA23" s="11"/>
      <c r="AB23" s="12"/>
      <c r="AC23" s="11"/>
      <c r="AD23" s="12"/>
      <c r="AE23" s="11"/>
      <c r="AF23" s="12"/>
    </row>
    <row r="24" spans="1:32" ht="18">
      <c r="A24" s="22"/>
      <c r="B24" s="2" t="s">
        <v>71</v>
      </c>
      <c r="C24" s="7">
        <f>$B$11*10^6*$D$6*10^-4*C16</f>
        <v>58.980645161290312</v>
      </c>
      <c r="D24" s="2" t="s">
        <v>71</v>
      </c>
      <c r="E24" s="7">
        <f>$B$11*10^6*$D$6*10^-4*E16</f>
        <v>130.44312261920902</v>
      </c>
      <c r="F24" s="2" t="s">
        <v>71</v>
      </c>
      <c r="G24" s="7">
        <f>MIN($B$11*10^6*$D$6*10^-4*G16,$D$6*$B$9/10)</f>
        <v>200</v>
      </c>
      <c r="Y24" s="11"/>
      <c r="Z24" s="12"/>
      <c r="AA24" s="11"/>
      <c r="AB24" s="12"/>
      <c r="AC24" s="11"/>
      <c r="AD24" s="12"/>
      <c r="AE24" s="11"/>
      <c r="AF24" s="12"/>
    </row>
    <row r="25" spans="1:32" ht="18">
      <c r="A25" s="22"/>
      <c r="B25" s="2" t="s">
        <v>70</v>
      </c>
      <c r="C25" s="7">
        <f>$B$11*10^6*$D$6*10^-4*C18</f>
        <v>-0.91612903225806896</v>
      </c>
      <c r="D25" s="2" t="s">
        <v>70</v>
      </c>
      <c r="E25" s="7">
        <f>$B$11*10^6*$D$6*10^-4*E18</f>
        <v>-200</v>
      </c>
      <c r="F25" s="2" t="s">
        <v>70</v>
      </c>
      <c r="G25" s="7">
        <f>MAX($B$11*10^6*$D$6*10^-4*G18,-$D$6*$B$9/10)</f>
        <v>-200</v>
      </c>
      <c r="Y25" s="11"/>
      <c r="Z25" s="12"/>
      <c r="AA25" s="11"/>
      <c r="AB25" s="12"/>
      <c r="AC25" s="11"/>
      <c r="AD25" s="12"/>
      <c r="AE25" s="11"/>
      <c r="AF25" s="12"/>
    </row>
    <row r="26" spans="1:32" ht="18">
      <c r="B26" s="2" t="s">
        <v>72</v>
      </c>
      <c r="C26" s="7">
        <f>SUM(C22:C25)</f>
        <v>1799.9999999999995</v>
      </c>
      <c r="D26" s="2" t="s">
        <v>72</v>
      </c>
      <c r="E26" s="7">
        <f>SUM(E22:E25)</f>
        <v>1799.9999999999995</v>
      </c>
      <c r="F26" s="2" t="s">
        <v>72</v>
      </c>
      <c r="G26" s="7">
        <f>SUM(G22:G25)</f>
        <v>1800</v>
      </c>
      <c r="Y26" s="11"/>
      <c r="Z26" s="12"/>
      <c r="AA26" s="11"/>
      <c r="AB26" s="12"/>
      <c r="AC26" s="11"/>
      <c r="AD26" s="12"/>
      <c r="AE26" s="11"/>
      <c r="AF26" s="12"/>
    </row>
    <row r="27" spans="1:32">
      <c r="B27" s="9" t="s">
        <v>21</v>
      </c>
      <c r="C27" s="7">
        <f>C22*($D$5/2-0.33*C$21)/100+C23*(0.33*($D$5-C$21)-$D$5/2)/100+C24*(($D$5/2-$D$7)/100)+C25*($D$7-($D$5/2))/100</f>
        <v>186.04690123834274</v>
      </c>
      <c r="D27" s="9" t="s">
        <v>21</v>
      </c>
      <c r="E27" s="7">
        <f>E22*($D$5/2-0.33*E$21)/100+E24*(($D$5/2-$D$7)/100)+E25*($D$7-($D$5/2))/100</f>
        <v>414.41881798188882</v>
      </c>
      <c r="F27" s="9" t="s">
        <v>21</v>
      </c>
      <c r="G27" s="7">
        <f>G22*($D$5/2-0.4*G$21)/100+G24*(($D$5/2-$D$7)/100)+G25*($D$7-($D$5/2))/100</f>
        <v>403</v>
      </c>
      <c r="Y27" s="11"/>
      <c r="Z27" s="12"/>
      <c r="AA27" s="11"/>
      <c r="AB27" s="12"/>
      <c r="AC27" s="11"/>
      <c r="AD27" s="12"/>
      <c r="AE27" s="11"/>
      <c r="AF27" s="12"/>
    </row>
    <row r="28" spans="1:32">
      <c r="B28"/>
      <c r="C28" s="1"/>
      <c r="F28" s="2"/>
      <c r="Y28" s="11"/>
      <c r="Z28" s="12"/>
      <c r="AA28" s="11"/>
      <c r="AB28" s="12"/>
      <c r="AC28" s="11"/>
      <c r="AD28" s="12"/>
      <c r="AE28" s="11"/>
      <c r="AF28" s="12"/>
    </row>
    <row r="29" spans="1:32">
      <c r="B29" s="39" t="s">
        <v>87</v>
      </c>
      <c r="C29" s="40">
        <f>-(C21-$D$5/2)</f>
        <v>-21.327014218009474</v>
      </c>
      <c r="D29" s="39" t="s">
        <v>87</v>
      </c>
      <c r="E29" s="40">
        <f>-(E21-$D$5/2)</f>
        <v>4.6309067964498354</v>
      </c>
      <c r="F29" s="39" t="s">
        <v>87</v>
      </c>
      <c r="G29" s="40">
        <f>-(G21-$D$5/2)</f>
        <v>6.25</v>
      </c>
      <c r="Y29" s="11"/>
      <c r="Z29" s="12"/>
      <c r="AA29" s="11"/>
      <c r="AB29" s="12"/>
      <c r="AC29" s="11"/>
      <c r="AD29" s="12"/>
      <c r="AE29" s="11"/>
      <c r="AF29" s="12"/>
    </row>
    <row r="30" spans="1:32">
      <c r="B30" s="39"/>
      <c r="C30" s="41"/>
      <c r="D30" s="39" t="s">
        <v>76</v>
      </c>
      <c r="E30" s="43">
        <f>1+D9/D8*(1-D7/D8)</f>
        <v>1.0331975252753887</v>
      </c>
      <c r="F30" s="39" t="s">
        <v>76</v>
      </c>
      <c r="G30" s="43">
        <f>-D6*10^-4*B11*10^6*D7/D8</f>
        <v>-6382.9787234042551</v>
      </c>
      <c r="Y30" s="11"/>
      <c r="Z30" s="12"/>
      <c r="AA30" s="11"/>
      <c r="AB30" s="12"/>
      <c r="AC30" s="11"/>
      <c r="AD30" s="12"/>
      <c r="AE30" s="11"/>
      <c r="AF30" s="12"/>
    </row>
    <row r="31" spans="1:32">
      <c r="B31" s="41"/>
      <c r="C31" s="42"/>
      <c r="D31" s="39" t="s">
        <v>77</v>
      </c>
      <c r="E31" s="43">
        <f>2*(E18*D7*D9/D8^2-D11/(D4*D8*10^-4*B7*10^6))</f>
        <v>-6.4735174287007687E-4</v>
      </c>
      <c r="F31" s="39" t="s">
        <v>77</v>
      </c>
      <c r="G31" s="43">
        <f>D11-D6*10^-4*(B11*10^6*B6*(1-2*D7/D8)-B9*10^3)</f>
        <v>1694.6808510638298</v>
      </c>
      <c r="Y31" s="11"/>
      <c r="Z31" s="12"/>
      <c r="AA31" s="11"/>
      <c r="AB31" s="12"/>
      <c r="AC31" s="11"/>
      <c r="AD31" s="12"/>
      <c r="AE31" s="11"/>
      <c r="AF31" s="12"/>
    </row>
    <row r="32" spans="1:32">
      <c r="B32" s="41"/>
      <c r="C32" s="38"/>
      <c r="D32" s="39" t="s">
        <v>78</v>
      </c>
      <c r="E32" s="43">
        <f>E18*(2*D11/(D4*D8*10^-4*B7*10^6)-E18*D9/D8*(1+D7/D8))</f>
        <v>-1.4274935868417078E-6</v>
      </c>
      <c r="F32" s="39" t="s">
        <v>78</v>
      </c>
      <c r="G32" s="43">
        <f>B6*(0.8*D4*D8*10^-4*B4*10^3-D11+D6*10^-4*(B11*10^6*B6*(1-D7/D8)-B9*10^3))</f>
        <v>9.9388085106382995</v>
      </c>
      <c r="Y32" s="11"/>
      <c r="Z32" s="12"/>
      <c r="AA32" s="11"/>
      <c r="AB32" s="12"/>
      <c r="AC32" s="11"/>
      <c r="AD32" s="12"/>
      <c r="AE32" s="11"/>
      <c r="AF32" s="12"/>
    </row>
    <row r="33" spans="6:32" ht="18">
      <c r="F33" s="45" t="s">
        <v>88</v>
      </c>
      <c r="G33" s="43">
        <f>(-G31+SQRT(G31^2-4*G30*G32))/(2*G30)</f>
        <v>-5.7405863226811507E-3</v>
      </c>
      <c r="Y33" s="11"/>
      <c r="Z33" s="12"/>
      <c r="AA33" s="11"/>
      <c r="AB33" s="12"/>
      <c r="AC33" s="11"/>
      <c r="AD33" s="12"/>
      <c r="AE33" s="11"/>
      <c r="AF33" s="12"/>
    </row>
    <row r="34" spans="6:32" ht="18">
      <c r="F34" s="45" t="s">
        <v>89</v>
      </c>
      <c r="G34" s="43">
        <f>G15*(1-$D$5/2/$D$8)+G33*($D$5/2/$D$8)</f>
        <v>-1.4152054907878462E-3</v>
      </c>
      <c r="Y34" s="11"/>
      <c r="Z34" s="12"/>
      <c r="AA34" s="11"/>
      <c r="AB34" s="12"/>
      <c r="AC34" s="11"/>
      <c r="AD34" s="12"/>
      <c r="AE34" s="11"/>
      <c r="AF34" s="12"/>
    </row>
    <row r="35" spans="6:32">
      <c r="F35" s="45" t="s">
        <v>90</v>
      </c>
      <c r="G35" s="46">
        <f>(G15-G33)/(D8/100)</f>
        <v>1.9660821963151387E-2</v>
      </c>
      <c r="Y35" s="11"/>
      <c r="Z35" s="12"/>
      <c r="AA35" s="11"/>
      <c r="AB35" s="12"/>
      <c r="AC35" s="11"/>
      <c r="AD35" s="12"/>
      <c r="AE35" s="11"/>
      <c r="AF35" s="12"/>
    </row>
    <row r="36" spans="6:32" ht="18">
      <c r="F36" s="45" t="s">
        <v>91</v>
      </c>
      <c r="G36" s="43">
        <f>G$34+G$35*($A16/100)</f>
        <v>2.9101753411054591E-3</v>
      </c>
      <c r="Y36" s="11"/>
      <c r="Z36" s="12"/>
      <c r="AA36" s="11"/>
      <c r="AB36" s="12"/>
      <c r="AC36" s="11"/>
      <c r="AD36" s="12"/>
      <c r="AE36" s="11"/>
      <c r="AF36" s="12"/>
    </row>
    <row r="37" spans="6:32">
      <c r="Y37" s="11"/>
      <c r="Z37" s="12"/>
      <c r="AA37" s="11"/>
      <c r="AB37" s="12"/>
      <c r="AC37" s="11"/>
      <c r="AD37" s="12"/>
      <c r="AE37" s="11"/>
      <c r="AF37" s="12"/>
    </row>
    <row r="38" spans="6:32">
      <c r="Y38" s="11"/>
      <c r="Z38" s="12"/>
      <c r="AA38" s="11"/>
      <c r="AB38" s="12"/>
      <c r="AC38" s="11"/>
      <c r="AD38" s="12"/>
      <c r="AE38" s="11"/>
      <c r="AF38" s="12"/>
    </row>
    <row r="39" spans="6:32">
      <c r="Y39" s="11"/>
      <c r="Z39" s="12"/>
      <c r="AA39" s="11"/>
      <c r="AB39" s="12"/>
      <c r="AC39" s="11"/>
      <c r="AD39" s="12"/>
      <c r="AE39" s="11"/>
      <c r="AF39" s="12"/>
    </row>
    <row r="40" spans="6:32">
      <c r="Y40" s="11"/>
      <c r="Z40" s="12"/>
      <c r="AA40" s="11"/>
      <c r="AB40" s="12"/>
      <c r="AC40" s="11"/>
      <c r="AD40" s="12"/>
      <c r="AE40" s="11"/>
      <c r="AF40" s="12"/>
    </row>
    <row r="41" spans="6:32">
      <c r="Y41" s="11"/>
      <c r="Z41" s="12"/>
      <c r="AA41" s="11"/>
      <c r="AB41" s="12"/>
      <c r="AC41" s="11"/>
      <c r="AD41" s="12"/>
      <c r="AE41" s="11"/>
      <c r="AF41" s="12"/>
    </row>
    <row r="42" spans="6:32">
      <c r="Y42" s="11"/>
      <c r="Z42" s="12"/>
      <c r="AA42" s="11"/>
      <c r="AB42" s="12"/>
      <c r="AC42" s="11"/>
      <c r="AD42" s="12"/>
      <c r="AE42" s="11"/>
      <c r="AF42" s="12"/>
    </row>
    <row r="43" spans="6:32">
      <c r="Y43" s="11"/>
      <c r="Z43" s="12"/>
      <c r="AA43" s="11"/>
      <c r="AB43" s="12"/>
      <c r="AC43" s="11"/>
      <c r="AD43" s="12"/>
      <c r="AE43" s="11"/>
      <c r="AF43" s="12"/>
    </row>
    <row r="44" spans="6:32">
      <c r="Y44" s="11"/>
      <c r="Z44" s="12"/>
      <c r="AA44" s="11"/>
      <c r="AB44" s="12"/>
      <c r="AC44" s="11"/>
      <c r="AD44" s="12"/>
      <c r="AE44" s="11"/>
      <c r="AF44" s="12"/>
    </row>
    <row r="45" spans="6:32">
      <c r="Y45" s="11"/>
      <c r="Z45" s="12"/>
      <c r="AA45" s="11"/>
      <c r="AB45" s="12"/>
      <c r="AC45" s="11"/>
      <c r="AD45" s="12"/>
      <c r="AE45" s="11"/>
      <c r="AF45" s="12"/>
    </row>
    <row r="46" spans="6:32">
      <c r="Y46" s="11"/>
      <c r="Z46" s="12"/>
      <c r="AA46" s="11"/>
      <c r="AB46" s="12"/>
      <c r="AC46" s="11"/>
      <c r="AD46" s="12"/>
      <c r="AE46" s="11"/>
      <c r="AF46" s="12"/>
    </row>
    <row r="47" spans="6:32">
      <c r="Y47" s="11"/>
      <c r="Z47" s="12"/>
      <c r="AA47" s="11"/>
      <c r="AB47" s="12"/>
      <c r="AC47" s="11"/>
      <c r="AD47" s="12"/>
      <c r="AE47" s="11"/>
      <c r="AF47" s="12"/>
    </row>
    <row r="48" spans="6:32">
      <c r="Y48" s="11"/>
      <c r="Z48" s="12"/>
      <c r="AA48" s="11"/>
      <c r="AB48" s="12"/>
      <c r="AC48" s="11"/>
      <c r="AD48" s="12"/>
      <c r="AE48" s="11"/>
      <c r="AF48" s="12"/>
    </row>
    <row r="49" spans="25:32">
      <c r="Y49" s="11"/>
      <c r="Z49" s="12"/>
      <c r="AA49" s="11"/>
      <c r="AB49" s="12"/>
      <c r="AC49" s="11"/>
      <c r="AD49" s="12"/>
      <c r="AE49" s="11"/>
      <c r="AF49" s="12"/>
    </row>
    <row r="50" spans="25:32">
      <c r="Y50" s="11"/>
      <c r="Z50" s="12"/>
      <c r="AA50" s="11"/>
      <c r="AB50" s="12"/>
      <c r="AC50" s="11"/>
      <c r="AD50" s="12"/>
      <c r="AE50" s="11"/>
      <c r="AF50" s="12"/>
    </row>
    <row r="51" spans="25:32">
      <c r="Y51" s="11"/>
      <c r="Z51" s="12"/>
      <c r="AA51" s="11"/>
      <c r="AB51" s="12"/>
      <c r="AC51" s="11"/>
      <c r="AD51" s="12"/>
      <c r="AE51" s="11"/>
      <c r="AF51" s="12"/>
    </row>
    <row r="52" spans="25:32">
      <c r="Y52" s="11"/>
      <c r="Z52" s="12"/>
      <c r="AA52" s="11"/>
      <c r="AB52" s="12"/>
      <c r="AC52" s="11"/>
      <c r="AD52" s="12"/>
      <c r="AE52" s="11"/>
      <c r="AF52" s="12"/>
    </row>
    <row r="53" spans="25:32">
      <c r="Y53" s="11"/>
      <c r="Z53" s="12"/>
      <c r="AA53" s="11"/>
      <c r="AB53" s="12"/>
      <c r="AC53" s="11"/>
      <c r="AD53" s="12"/>
      <c r="AE53" s="11"/>
      <c r="AF53" s="12"/>
    </row>
    <row r="54" spans="25:32">
      <c r="Y54" s="11"/>
      <c r="Z54" s="12"/>
      <c r="AA54" s="11"/>
      <c r="AB54" s="12"/>
      <c r="AC54" s="11"/>
      <c r="AD54" s="12"/>
      <c r="AE54" s="11"/>
      <c r="AF54" s="12"/>
    </row>
    <row r="55" spans="25:32">
      <c r="Y55" s="11"/>
      <c r="Z55" s="12"/>
      <c r="AA55" s="11"/>
      <c r="AB55" s="12"/>
      <c r="AC55" s="11"/>
      <c r="AD55" s="12"/>
      <c r="AE55" s="11"/>
      <c r="AF55" s="12"/>
    </row>
    <row r="56" spans="25:32">
      <c r="Y56" s="11"/>
      <c r="Z56" s="12"/>
      <c r="AA56" s="11"/>
      <c r="AB56" s="12"/>
      <c r="AC56" s="11"/>
      <c r="AD56" s="12"/>
      <c r="AE56" s="11"/>
      <c r="AF56" s="12"/>
    </row>
    <row r="57" spans="25:32">
      <c r="Y57" s="11"/>
      <c r="Z57" s="12"/>
      <c r="AA57" s="11"/>
      <c r="AB57" s="12"/>
      <c r="AC57" s="11"/>
      <c r="AD57" s="12"/>
      <c r="AE57" s="11"/>
      <c r="AF57" s="12"/>
    </row>
    <row r="58" spans="25:32">
      <c r="Y58" s="11"/>
      <c r="Z58" s="12"/>
      <c r="AA58" s="11"/>
      <c r="AB58" s="12"/>
      <c r="AC58" s="11"/>
      <c r="AD58" s="12"/>
      <c r="AE58" s="11"/>
      <c r="AF58" s="12"/>
    </row>
    <row r="59" spans="25:32">
      <c r="Y59" s="11"/>
      <c r="Z59" s="12"/>
      <c r="AA59" s="11"/>
      <c r="AB59" s="12"/>
      <c r="AC59" s="11"/>
      <c r="AD59" s="12"/>
      <c r="AE59" s="11"/>
      <c r="AF59" s="12"/>
    </row>
    <row r="60" spans="25:32">
      <c r="Y60" s="11"/>
      <c r="Z60" s="12"/>
      <c r="AA60" s="11"/>
      <c r="AB60" s="12"/>
      <c r="AC60" s="11"/>
      <c r="AD60" s="12"/>
      <c r="AE60" s="11"/>
      <c r="AF60" s="12"/>
    </row>
    <row r="61" spans="25:32">
      <c r="Y61" s="11"/>
      <c r="Z61" s="12"/>
      <c r="AA61" s="11"/>
      <c r="AB61" s="12"/>
      <c r="AC61" s="11"/>
      <c r="AD61" s="12"/>
      <c r="AE61" s="11"/>
      <c r="AF61" s="12"/>
    </row>
    <row r="62" spans="25:32">
      <c r="Y62" s="11"/>
      <c r="Z62" s="12"/>
      <c r="AA62" s="11"/>
      <c r="AB62" s="12"/>
      <c r="AC62" s="11"/>
      <c r="AD62" s="12"/>
      <c r="AE62" s="11"/>
      <c r="AF62" s="12"/>
    </row>
    <row r="63" spans="25:32">
      <c r="Y63" s="11"/>
      <c r="Z63" s="12"/>
      <c r="AA63" s="11"/>
      <c r="AB63" s="12"/>
      <c r="AC63" s="11"/>
      <c r="AD63" s="12"/>
      <c r="AE63" s="11"/>
      <c r="AF63" s="12"/>
    </row>
    <row r="64" spans="25:32">
      <c r="Y64" s="11"/>
      <c r="Z64" s="12"/>
      <c r="AA64" s="11"/>
      <c r="AB64" s="12"/>
      <c r="AC64" s="11"/>
      <c r="AD64" s="12"/>
      <c r="AE64" s="11"/>
      <c r="AF64" s="12"/>
    </row>
    <row r="65" spans="25:32">
      <c r="Y65" s="11"/>
      <c r="Z65" s="12"/>
      <c r="AA65" s="11"/>
      <c r="AB65" s="12"/>
      <c r="AC65" s="11"/>
      <c r="AD65" s="12"/>
      <c r="AE65" s="11"/>
      <c r="AF65" s="12"/>
    </row>
    <row r="66" spans="25:32">
      <c r="Y66" s="11"/>
      <c r="Z66" s="12"/>
      <c r="AA66" s="11"/>
      <c r="AB66" s="12"/>
      <c r="AC66" s="11"/>
      <c r="AD66" s="12"/>
      <c r="AE66" s="11"/>
      <c r="AF66" s="12"/>
    </row>
    <row r="67" spans="25:32">
      <c r="Y67" s="11"/>
      <c r="Z67" s="12"/>
      <c r="AA67" s="11"/>
      <c r="AB67" s="12"/>
      <c r="AC67" s="11"/>
      <c r="AD67" s="12"/>
      <c r="AE67" s="11"/>
      <c r="AF67" s="12"/>
    </row>
    <row r="68" spans="25:32">
      <c r="Y68" s="11"/>
      <c r="Z68" s="12"/>
      <c r="AA68" s="11"/>
      <c r="AB68" s="12"/>
      <c r="AC68" s="11"/>
      <c r="AD68" s="12"/>
      <c r="AE68" s="11"/>
      <c r="AF68" s="12"/>
    </row>
    <row r="69" spans="25:32">
      <c r="Y69" s="11"/>
      <c r="Z69" s="12"/>
      <c r="AA69" s="11"/>
      <c r="AB69" s="12"/>
      <c r="AC69" s="11"/>
      <c r="AD69" s="12"/>
      <c r="AE69" s="11"/>
      <c r="AF69" s="12"/>
    </row>
    <row r="70" spans="25:32">
      <c r="Y70" s="11"/>
      <c r="Z70" s="12"/>
      <c r="AA70" s="11"/>
      <c r="AB70" s="12"/>
      <c r="AC70" s="11"/>
      <c r="AD70" s="12"/>
      <c r="AE70" s="11"/>
      <c r="AF70" s="12"/>
    </row>
    <row r="71" spans="25:32">
      <c r="Y71" s="11"/>
      <c r="Z71" s="12"/>
      <c r="AA71" s="11"/>
      <c r="AB71" s="12"/>
      <c r="AC71" s="11"/>
      <c r="AD71" s="12"/>
      <c r="AE71" s="11"/>
      <c r="AF71" s="12"/>
    </row>
    <row r="72" spans="25:32">
      <c r="Y72" s="11"/>
      <c r="Z72" s="12"/>
      <c r="AA72" s="11"/>
      <c r="AB72" s="12"/>
      <c r="AC72" s="11"/>
      <c r="AD72" s="12"/>
      <c r="AE72" s="11"/>
      <c r="AF72" s="12"/>
    </row>
    <row r="73" spans="25:32">
      <c r="Y73" s="11"/>
      <c r="Z73" s="12"/>
      <c r="AA73" s="11"/>
      <c r="AB73" s="12"/>
      <c r="AC73" s="11"/>
      <c r="AD73" s="12"/>
      <c r="AE73" s="11"/>
      <c r="AF73" s="12"/>
    </row>
    <row r="74" spans="25:32">
      <c r="Y74" s="11"/>
      <c r="Z74" s="12"/>
      <c r="AA74" s="11"/>
      <c r="AB74" s="12"/>
      <c r="AC74" s="11"/>
      <c r="AD74" s="12"/>
      <c r="AE74" s="11"/>
      <c r="AF74" s="12"/>
    </row>
    <row r="75" spans="25:32">
      <c r="Y75" s="11"/>
      <c r="Z75" s="12"/>
      <c r="AA75" s="11"/>
      <c r="AB75" s="12"/>
      <c r="AC75" s="11"/>
      <c r="AD75" s="12"/>
      <c r="AE75" s="11"/>
      <c r="AF75" s="12"/>
    </row>
    <row r="76" spans="25:32">
      <c r="Y76" s="11"/>
      <c r="Z76" s="12"/>
      <c r="AA76" s="11"/>
      <c r="AB76" s="12"/>
      <c r="AC76" s="11"/>
      <c r="AD76" s="12"/>
      <c r="AE76" s="11"/>
      <c r="AF76" s="12"/>
    </row>
    <row r="77" spans="25:32">
      <c r="Y77" s="11"/>
      <c r="Z77" s="12"/>
      <c r="AA77" s="11"/>
      <c r="AB77" s="12"/>
      <c r="AC77" s="11"/>
      <c r="AD77" s="12"/>
      <c r="AE77" s="11"/>
      <c r="AF77" s="12"/>
    </row>
    <row r="78" spans="25:32">
      <c r="Y78" s="11"/>
      <c r="Z78" s="12"/>
      <c r="AA78" s="11"/>
      <c r="AB78" s="12"/>
      <c r="AC78" s="11"/>
      <c r="AD78" s="12"/>
      <c r="AE78" s="11"/>
      <c r="AF78" s="12"/>
    </row>
    <row r="79" spans="25:32">
      <c r="Y79" s="11"/>
      <c r="Z79" s="12"/>
      <c r="AA79" s="11"/>
      <c r="AB79" s="12"/>
      <c r="AC79" s="11"/>
      <c r="AD79" s="12"/>
      <c r="AE79" s="11"/>
      <c r="AF79" s="12"/>
    </row>
    <row r="80" spans="25:32">
      <c r="Y80" s="11"/>
      <c r="Z80" s="12"/>
      <c r="AA80" s="11"/>
      <c r="AB80" s="12"/>
      <c r="AC80" s="11"/>
      <c r="AD80" s="12"/>
      <c r="AE80" s="11"/>
      <c r="AF80" s="12"/>
    </row>
    <row r="81" spans="25:32">
      <c r="Y81" s="11"/>
      <c r="Z81" s="12"/>
      <c r="AA81" s="11"/>
      <c r="AB81" s="12"/>
      <c r="AC81" s="11"/>
      <c r="AD81" s="12"/>
      <c r="AE81" s="11"/>
      <c r="AF81" s="12"/>
    </row>
    <row r="82" spans="25:32">
      <c r="Y82" s="11"/>
      <c r="Z82" s="12"/>
      <c r="AA82" s="11"/>
      <c r="AB82" s="12"/>
      <c r="AC82" s="11"/>
      <c r="AD82" s="12"/>
      <c r="AE82" s="11"/>
      <c r="AF82" s="12"/>
    </row>
    <row r="83" spans="25:32">
      <c r="Y83" s="11"/>
      <c r="Z83" s="12"/>
      <c r="AA83" s="11"/>
      <c r="AB83" s="12"/>
      <c r="AC83" s="11"/>
      <c r="AD83" s="12"/>
      <c r="AE83" s="11"/>
      <c r="AF83" s="12"/>
    </row>
    <row r="84" spans="25:32">
      <c r="Y84" s="11"/>
      <c r="Z84" s="12"/>
      <c r="AA84" s="11"/>
      <c r="AB84" s="12"/>
      <c r="AC84" s="11"/>
      <c r="AD84" s="12"/>
      <c r="AE84" s="11"/>
      <c r="AF84" s="12"/>
    </row>
    <row r="85" spans="25:32">
      <c r="Y85" s="11"/>
      <c r="Z85" s="12"/>
      <c r="AA85" s="11"/>
      <c r="AB85" s="12"/>
      <c r="AC85" s="11"/>
      <c r="AD85" s="12"/>
      <c r="AE85" s="11"/>
      <c r="AF85" s="12"/>
    </row>
    <row r="86" spans="25:32">
      <c r="Y86" s="11"/>
      <c r="Z86" s="12"/>
      <c r="AA86" s="11"/>
      <c r="AB86" s="12"/>
      <c r="AC86" s="11"/>
      <c r="AD86" s="12"/>
      <c r="AE86" s="11"/>
      <c r="AF86" s="12"/>
    </row>
    <row r="87" spans="25:32">
      <c r="Y87" s="11"/>
      <c r="Z87" s="12"/>
      <c r="AA87" s="11"/>
      <c r="AB87" s="12"/>
      <c r="AC87" s="11"/>
      <c r="AD87" s="12"/>
      <c r="AE87" s="11"/>
      <c r="AF87" s="12"/>
    </row>
    <row r="88" spans="25:32">
      <c r="Y88" s="11"/>
      <c r="Z88" s="12"/>
      <c r="AA88" s="11"/>
      <c r="AB88" s="12"/>
      <c r="AC88" s="11"/>
      <c r="AD88" s="12"/>
      <c r="AE88" s="11"/>
      <c r="AF88" s="12"/>
    </row>
    <row r="89" spans="25:32">
      <c r="Y89" s="11"/>
      <c r="Z89" s="12"/>
      <c r="AA89" s="11"/>
      <c r="AB89" s="12"/>
      <c r="AC89" s="11"/>
      <c r="AD89" s="12"/>
      <c r="AE89" s="11"/>
      <c r="AF89" s="12"/>
    </row>
    <row r="90" spans="25:32">
      <c r="Y90" s="11"/>
      <c r="Z90" s="12"/>
      <c r="AA90" s="11"/>
      <c r="AB90" s="12"/>
      <c r="AC90" s="11"/>
      <c r="AD90" s="12"/>
      <c r="AE90" s="11"/>
      <c r="AF90" s="12"/>
    </row>
    <row r="91" spans="25:32">
      <c r="Y91" s="11"/>
      <c r="Z91" s="12"/>
      <c r="AA91" s="11"/>
      <c r="AB91" s="12"/>
      <c r="AC91" s="11"/>
      <c r="AD91" s="12"/>
      <c r="AE91" s="11"/>
      <c r="AF91" s="12"/>
    </row>
    <row r="92" spans="25:32">
      <c r="Y92" s="11"/>
      <c r="Z92" s="12"/>
      <c r="AA92" s="11"/>
      <c r="AB92" s="12"/>
      <c r="AC92" s="11"/>
      <c r="AD92" s="12"/>
      <c r="AE92" s="11"/>
      <c r="AF92" s="12"/>
    </row>
    <row r="93" spans="25:32">
      <c r="Y93" s="11"/>
      <c r="Z93" s="12"/>
      <c r="AA93" s="11"/>
      <c r="AB93" s="12"/>
      <c r="AC93" s="11"/>
      <c r="AD93" s="12"/>
      <c r="AE93" s="11"/>
      <c r="AF93" s="12"/>
    </row>
    <row r="94" spans="25:32">
      <c r="Y94" s="11"/>
      <c r="Z94" s="12"/>
      <c r="AA94" s="11"/>
      <c r="AB94" s="12"/>
      <c r="AC94" s="11"/>
      <c r="AD94" s="12"/>
      <c r="AE94" s="11"/>
      <c r="AF94" s="12"/>
    </row>
    <row r="95" spans="25:32">
      <c r="Y95" s="11"/>
      <c r="Z95" s="12"/>
      <c r="AA95" s="11"/>
      <c r="AB95" s="12"/>
      <c r="AC95" s="11"/>
      <c r="AD95" s="12"/>
      <c r="AE95" s="11"/>
      <c r="AF95" s="12"/>
    </row>
    <row r="96" spans="25:32">
      <c r="Y96" s="11"/>
      <c r="Z96" s="12"/>
      <c r="AA96" s="11"/>
      <c r="AB96" s="12"/>
      <c r="AC96" s="11"/>
      <c r="AD96" s="12"/>
      <c r="AE96" s="11"/>
      <c r="AF96" s="12"/>
    </row>
    <row r="97" spans="25:32">
      <c r="Y97" s="11"/>
      <c r="Z97" s="12"/>
      <c r="AA97" s="11"/>
      <c r="AB97" s="12"/>
      <c r="AC97" s="11"/>
      <c r="AD97" s="12"/>
      <c r="AE97" s="11"/>
      <c r="AF97" s="12"/>
    </row>
    <row r="98" spans="25:32">
      <c r="Y98" s="11"/>
      <c r="Z98" s="12"/>
      <c r="AA98" s="11"/>
      <c r="AB98" s="12"/>
      <c r="AC98" s="11"/>
      <c r="AD98" s="12"/>
      <c r="AE98" s="11"/>
      <c r="AF98" s="12"/>
    </row>
    <row r="99" spans="25:32">
      <c r="Y99" s="11"/>
      <c r="Z99" s="12"/>
      <c r="AA99" s="11"/>
      <c r="AB99" s="12"/>
      <c r="AC99" s="11"/>
      <c r="AD99" s="12"/>
      <c r="AE99" s="11"/>
      <c r="AF99" s="12"/>
    </row>
    <row r="100" spans="25:32">
      <c r="Y100" s="11"/>
      <c r="Z100" s="12"/>
      <c r="AA100" s="11"/>
      <c r="AB100" s="12"/>
      <c r="AC100" s="11"/>
      <c r="AD100" s="12"/>
      <c r="AE100" s="11"/>
      <c r="AF100" s="12"/>
    </row>
    <row r="101" spans="25:32">
      <c r="Y101" s="11"/>
      <c r="Z101" s="12"/>
      <c r="AA101" s="11"/>
      <c r="AB101" s="12"/>
      <c r="AC101" s="11"/>
      <c r="AD101" s="12"/>
      <c r="AE101" s="11"/>
      <c r="AF101" s="12"/>
    </row>
    <row r="102" spans="25:32">
      <c r="Y102" s="11"/>
      <c r="Z102" s="12"/>
      <c r="AA102" s="11"/>
      <c r="AB102" s="12"/>
      <c r="AC102" s="11"/>
      <c r="AD102" s="12"/>
      <c r="AE102" s="11"/>
      <c r="AF102" s="12"/>
    </row>
    <row r="103" spans="25:32">
      <c r="Y103" s="11"/>
      <c r="Z103" s="12"/>
      <c r="AA103" s="11"/>
      <c r="AB103" s="12"/>
      <c r="AC103" s="11"/>
      <c r="AD103" s="12"/>
      <c r="AE103" s="11"/>
      <c r="AF103" s="12"/>
    </row>
    <row r="104" spans="25:32">
      <c r="Y104" s="11"/>
      <c r="Z104" s="12"/>
      <c r="AA104" s="11"/>
      <c r="AB104" s="12"/>
      <c r="AC104" s="11"/>
      <c r="AD104" s="12"/>
      <c r="AE104" s="11"/>
      <c r="AF104" s="12"/>
    </row>
    <row r="105" spans="25:32">
      <c r="Y105" s="11"/>
      <c r="Z105" s="12"/>
      <c r="AA105" s="11"/>
      <c r="AB105" s="12"/>
      <c r="AC105" s="11"/>
      <c r="AD105" s="12"/>
      <c r="AE105" s="11"/>
      <c r="AF105" s="12"/>
    </row>
    <row r="106" spans="25:32">
      <c r="Y106" s="11"/>
      <c r="Z106" s="12"/>
      <c r="AA106" s="11"/>
      <c r="AB106" s="12"/>
      <c r="AC106" s="11"/>
      <c r="AD106" s="12"/>
      <c r="AE106" s="11"/>
      <c r="AF106" s="12"/>
    </row>
    <row r="107" spans="25:32">
      <c r="Y107" s="11"/>
      <c r="Z107" s="12"/>
      <c r="AA107" s="11"/>
      <c r="AB107" s="12"/>
      <c r="AC107" s="11"/>
      <c r="AD107" s="12"/>
      <c r="AE107" s="11"/>
      <c r="AF107" s="12"/>
    </row>
    <row r="108" spans="25:32">
      <c r="Y108" s="11"/>
      <c r="Z108" s="12"/>
      <c r="AA108" s="11"/>
      <c r="AB108" s="12"/>
      <c r="AC108" s="11"/>
      <c r="AD108" s="12"/>
      <c r="AE108" s="11"/>
      <c r="AF108" s="12"/>
    </row>
    <row r="109" spans="25:32">
      <c r="AA109" s="11"/>
      <c r="AB109" s="12"/>
      <c r="AC109" s="11"/>
      <c r="AD109" s="12"/>
      <c r="AE109" s="11"/>
      <c r="AF109" s="12"/>
    </row>
    <row r="110" spans="25:32">
      <c r="AA110" s="11"/>
      <c r="AB110" s="12"/>
      <c r="AC110" s="11"/>
      <c r="AD110" s="12"/>
      <c r="AE110" s="11"/>
      <c r="AF110" s="12"/>
    </row>
    <row r="111" spans="25:32">
      <c r="AA111" s="11"/>
      <c r="AB111" s="12"/>
      <c r="AC111" s="11"/>
      <c r="AD111" s="12"/>
      <c r="AE111" s="11"/>
      <c r="AF111" s="12"/>
    </row>
    <row r="112" spans="25:32">
      <c r="AA112" s="11"/>
      <c r="AB112" s="12"/>
      <c r="AC112" s="11"/>
      <c r="AD112" s="12"/>
      <c r="AE112" s="11"/>
      <c r="AF112" s="12"/>
    </row>
    <row r="113" spans="27:32">
      <c r="AA113" s="11"/>
      <c r="AB113" s="12"/>
      <c r="AC113" s="11"/>
      <c r="AD113" s="12"/>
      <c r="AE113" s="11"/>
      <c r="AF113" s="12"/>
    </row>
    <row r="114" spans="27:32">
      <c r="AA114" s="11"/>
      <c r="AB114" s="12"/>
      <c r="AC114" s="11"/>
      <c r="AD114" s="12"/>
      <c r="AE114" s="11"/>
      <c r="AF114" s="12"/>
    </row>
    <row r="115" spans="27:32">
      <c r="AA115" s="11"/>
      <c r="AB115" s="12"/>
      <c r="AC115" s="11"/>
      <c r="AD115" s="12"/>
      <c r="AE115" s="11"/>
      <c r="AF115" s="12"/>
    </row>
    <row r="116" spans="27:32">
      <c r="AA116" s="11"/>
      <c r="AB116" s="12"/>
      <c r="AC116" s="11"/>
      <c r="AD116" s="12"/>
      <c r="AE116" s="11"/>
      <c r="AF116" s="12"/>
    </row>
    <row r="117" spans="27:32">
      <c r="AA117" s="11"/>
      <c r="AB117" s="12"/>
      <c r="AC117" s="11"/>
      <c r="AD117" s="12"/>
      <c r="AE117" s="11"/>
      <c r="AF117" s="12"/>
    </row>
    <row r="118" spans="27:32">
      <c r="AA118" s="11"/>
      <c r="AB118" s="12"/>
      <c r="AC118" s="11"/>
      <c r="AD118" s="12"/>
      <c r="AE118" s="11"/>
      <c r="AF118" s="12"/>
    </row>
    <row r="119" spans="27:32">
      <c r="AA119" s="11"/>
      <c r="AB119" s="12"/>
      <c r="AC119" s="11"/>
      <c r="AD119" s="12"/>
      <c r="AE119" s="11"/>
      <c r="AF119" s="12"/>
    </row>
    <row r="120" spans="27:32">
      <c r="AA120" s="11"/>
      <c r="AB120" s="12"/>
      <c r="AC120" s="11"/>
      <c r="AD120" s="12"/>
      <c r="AE120" s="11"/>
      <c r="AF120" s="12"/>
    </row>
    <row r="121" spans="27:32">
      <c r="AA121" s="11"/>
      <c r="AB121" s="12"/>
      <c r="AC121" s="11"/>
      <c r="AD121" s="12"/>
      <c r="AE121" s="11"/>
      <c r="AF121" s="12"/>
    </row>
    <row r="122" spans="27:32">
      <c r="AA122" s="11"/>
      <c r="AB122" s="12"/>
      <c r="AC122" s="11"/>
      <c r="AD122" s="12"/>
      <c r="AE122" s="11"/>
      <c r="AF122" s="12"/>
    </row>
    <row r="123" spans="27:32">
      <c r="AA123" s="11"/>
      <c r="AB123" s="12"/>
      <c r="AC123" s="11"/>
      <c r="AD123" s="12"/>
      <c r="AE123" s="11"/>
      <c r="AF123" s="12"/>
    </row>
    <row r="124" spans="27:32">
      <c r="AA124" s="11"/>
      <c r="AB124" s="12"/>
      <c r="AC124" s="11"/>
      <c r="AD124" s="12"/>
      <c r="AE124" s="11"/>
      <c r="AF124" s="12"/>
    </row>
    <row r="125" spans="27:32">
      <c r="AA125" s="11"/>
      <c r="AB125" s="12"/>
    </row>
    <row r="126" spans="27:32">
      <c r="AA126" s="11"/>
      <c r="AB126" s="12"/>
    </row>
    <row r="127" spans="27:32">
      <c r="AA127" s="11"/>
      <c r="AB127" s="12"/>
    </row>
    <row r="128" spans="27:32">
      <c r="AA128" s="11"/>
      <c r="AB128" s="12"/>
    </row>
    <row r="129" spans="27:28">
      <c r="AA129" s="11"/>
      <c r="AB129" s="12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L1000"/>
  <sheetViews>
    <sheetView zoomScale="85" zoomScaleNormal="85" workbookViewId="0">
      <selection activeCell="I2" sqref="I2"/>
    </sheetView>
  </sheetViews>
  <sheetFormatPr defaultColWidth="9.140625" defaultRowHeight="15"/>
  <cols>
    <col min="1" max="5" width="9.140625" style="1"/>
    <col min="6" max="6" width="7.28515625" style="1" bestFit="1" customWidth="1"/>
    <col min="7" max="7" width="7.140625" style="1" bestFit="1" customWidth="1"/>
    <col min="8" max="8" width="7.28515625" style="1" bestFit="1" customWidth="1"/>
    <col min="9" max="9" width="9.140625" style="1"/>
    <col min="10" max="10" width="9.140625" style="1" bestFit="1" customWidth="1"/>
    <col min="11" max="11" width="9.28515625" style="1" bestFit="1" customWidth="1"/>
    <col min="12" max="12" width="9.140625" style="1"/>
    <col min="13" max="14" width="9.140625" style="3"/>
    <col min="15" max="15" width="9.140625" style="1"/>
    <col min="16" max="16" width="7.140625" style="1" bestFit="1" customWidth="1"/>
    <col min="17" max="17" width="9.140625" style="1" bestFit="1" customWidth="1"/>
    <col min="18" max="18" width="9.7109375" style="1" bestFit="1" customWidth="1"/>
    <col min="19" max="22" width="9.140625" style="1"/>
    <col min="23" max="30" width="9.140625" style="13"/>
    <col min="31" max="16384" width="9.140625" style="1"/>
  </cols>
  <sheetData>
    <row r="1" spans="1:38" ht="18">
      <c r="A1" s="2" t="s">
        <v>16</v>
      </c>
      <c r="B1" s="3">
        <v>40</v>
      </c>
      <c r="D1" s="2" t="s">
        <v>9</v>
      </c>
      <c r="E1" s="5">
        <f>SUM(H9:H40)</f>
        <v>0.15000000000000008</v>
      </c>
      <c r="H1" s="14" t="s">
        <v>22</v>
      </c>
      <c r="I1" s="3">
        <v>1800</v>
      </c>
      <c r="W1" s="1"/>
      <c r="X1" s="1"/>
      <c r="Y1" s="1"/>
      <c r="Z1" s="1"/>
      <c r="AA1" s="1"/>
      <c r="AB1" s="1"/>
      <c r="AC1" s="1"/>
      <c r="AD1" s="1"/>
    </row>
    <row r="2" spans="1:38" ht="16.5">
      <c r="A2" s="9" t="s">
        <v>12</v>
      </c>
      <c r="B2" s="3">
        <v>2E-3</v>
      </c>
      <c r="D2" s="2" t="s">
        <v>10</v>
      </c>
      <c r="E2" s="5">
        <f>SUM(E9:E37)</f>
        <v>0.50000000000000011</v>
      </c>
      <c r="H2" s="14" t="s">
        <v>20</v>
      </c>
      <c r="I2" s="7">
        <f>L5+S5</f>
        <v>1800.0003969300135</v>
      </c>
      <c r="M2" s="1"/>
      <c r="N2" s="1"/>
      <c r="W2" s="1"/>
      <c r="X2" s="1"/>
      <c r="Y2" s="1"/>
      <c r="Z2" s="1"/>
      <c r="AA2" s="1"/>
      <c r="AB2" s="1"/>
      <c r="AC2" s="1"/>
      <c r="AD2" s="1"/>
    </row>
    <row r="3" spans="1:38" ht="18.75">
      <c r="A3" s="9" t="s">
        <v>23</v>
      </c>
      <c r="B3" s="3">
        <v>3.5000000000000001E-3</v>
      </c>
      <c r="D3" s="2" t="s">
        <v>11</v>
      </c>
      <c r="E3" s="5">
        <f>SUM(I9:I42)/E1</f>
        <v>0.24999999999999981</v>
      </c>
      <c r="H3" s="14" t="s">
        <v>24</v>
      </c>
      <c r="I3" s="13">
        <v>2.1000000000000001E-2</v>
      </c>
      <c r="M3" s="1"/>
      <c r="N3" s="1"/>
      <c r="W3" s="1"/>
      <c r="X3" s="1"/>
      <c r="Y3" s="1"/>
      <c r="Z3" s="1"/>
      <c r="AA3" s="1"/>
      <c r="AB3" s="1"/>
      <c r="AC3" s="1"/>
      <c r="AD3" s="1"/>
    </row>
    <row r="4" spans="1:38" ht="18">
      <c r="A4" s="2" t="s">
        <v>92</v>
      </c>
      <c r="B4" s="3">
        <v>200</v>
      </c>
      <c r="C4" s="3">
        <v>0</v>
      </c>
      <c r="D4" s="2" t="s">
        <v>25</v>
      </c>
      <c r="E4" s="7">
        <f>-($B$5*10^3)*SUM(N9:N38)*10^-4</f>
        <v>-400</v>
      </c>
      <c r="H4" s="14" t="s">
        <v>21</v>
      </c>
      <c r="I4" s="7">
        <f>M5+T5</f>
        <v>399.71964242916596</v>
      </c>
      <c r="L4" s="14" t="s">
        <v>17</v>
      </c>
      <c r="M4" s="14" t="s">
        <v>18</v>
      </c>
      <c r="N4" s="1"/>
      <c r="S4" s="16" t="s">
        <v>31</v>
      </c>
      <c r="T4" s="16" t="s">
        <v>19</v>
      </c>
      <c r="W4" s="1"/>
      <c r="X4" s="1"/>
      <c r="Y4" s="1"/>
      <c r="Z4" s="1"/>
      <c r="AA4" s="1"/>
      <c r="AB4" s="1"/>
      <c r="AC4" s="1"/>
      <c r="AD4" s="1"/>
    </row>
    <row r="5" spans="1:38" ht="18">
      <c r="A5" s="2" t="s">
        <v>15</v>
      </c>
      <c r="B5" s="3">
        <v>400</v>
      </c>
      <c r="D5" s="2" t="s">
        <v>26</v>
      </c>
      <c r="E5" s="7">
        <f>$E$1*(fc*10^3)-E4</f>
        <v>6400.0000000000027</v>
      </c>
      <c r="H5" s="15" t="s">
        <v>63</v>
      </c>
      <c r="I5" s="1">
        <v>-1.4346094286135436E-3</v>
      </c>
      <c r="L5" s="7">
        <f>SUM(L9:L32)</f>
        <v>1800.0003969300135</v>
      </c>
      <c r="M5" s="7">
        <f>SUM(M9:M32)</f>
        <v>311.71964242916596</v>
      </c>
      <c r="N5" s="1"/>
      <c r="S5" s="7">
        <f>SUM(S9:S38)</f>
        <v>0</v>
      </c>
      <c r="T5" s="7">
        <f>SUM(T9:T38)</f>
        <v>88</v>
      </c>
      <c r="W5" s="1"/>
      <c r="X5" s="1"/>
      <c r="Y5" s="1"/>
      <c r="Z5" s="1"/>
      <c r="AA5" s="1"/>
      <c r="AB5" s="1"/>
      <c r="AC5" s="1"/>
      <c r="AD5" s="1"/>
    </row>
    <row r="6" spans="1:38" ht="16.5">
      <c r="A6" s="9" t="s">
        <v>34</v>
      </c>
      <c r="B6" s="3">
        <v>0.06</v>
      </c>
      <c r="D6" s="2"/>
      <c r="E6" s="7"/>
      <c r="H6" s="9"/>
      <c r="L6" s="7"/>
      <c r="M6" s="7"/>
      <c r="N6" s="1"/>
      <c r="S6" s="7"/>
      <c r="T6" s="7"/>
      <c r="W6" s="1"/>
      <c r="X6" s="1"/>
      <c r="Y6" s="1"/>
      <c r="Z6" s="1"/>
      <c r="AA6" s="1"/>
      <c r="AB6" s="1"/>
      <c r="AC6" s="1"/>
      <c r="AD6" s="1"/>
    </row>
    <row r="7" spans="1:38">
      <c r="A7" s="2" t="s">
        <v>35</v>
      </c>
      <c r="B7" s="3">
        <v>1</v>
      </c>
      <c r="C7" s="84" t="s">
        <v>32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3" t="s">
        <v>33</v>
      </c>
      <c r="O7" s="83"/>
      <c r="P7" s="83"/>
      <c r="Q7" s="83"/>
      <c r="R7" s="83"/>
      <c r="S7" s="83"/>
      <c r="T7" s="83"/>
      <c r="V7" s="2" t="s">
        <v>20</v>
      </c>
      <c r="W7" s="1"/>
      <c r="X7" s="1"/>
      <c r="Y7" s="1"/>
      <c r="Z7" s="1"/>
      <c r="AA7" s="1"/>
      <c r="AB7" s="1"/>
      <c r="AC7" s="1"/>
      <c r="AD7" s="1"/>
    </row>
    <row r="8" spans="1:38" ht="18">
      <c r="C8" s="14" t="s">
        <v>8</v>
      </c>
      <c r="D8" s="14" t="s">
        <v>7</v>
      </c>
      <c r="E8" s="14" t="s">
        <v>6</v>
      </c>
      <c r="F8" s="14" t="s">
        <v>5</v>
      </c>
      <c r="G8" s="14" t="s">
        <v>4</v>
      </c>
      <c r="H8" s="14" t="s">
        <v>3</v>
      </c>
      <c r="I8" s="14" t="s">
        <v>2</v>
      </c>
      <c r="J8" s="15" t="s">
        <v>1</v>
      </c>
      <c r="K8" s="15" t="s">
        <v>61</v>
      </c>
      <c r="L8" s="14" t="s">
        <v>29</v>
      </c>
      <c r="M8" s="14" t="s">
        <v>30</v>
      </c>
      <c r="N8" s="16" t="s">
        <v>13</v>
      </c>
      <c r="O8" s="16" t="s">
        <v>5</v>
      </c>
      <c r="P8" s="16" t="s">
        <v>4</v>
      </c>
      <c r="Q8" s="17" t="s">
        <v>1</v>
      </c>
      <c r="R8" s="17" t="s">
        <v>0</v>
      </c>
      <c r="S8" s="16" t="s">
        <v>28</v>
      </c>
      <c r="T8" s="16" t="s">
        <v>27</v>
      </c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</row>
    <row r="9" spans="1:38">
      <c r="B9" s="1">
        <v>1</v>
      </c>
      <c r="C9" s="4">
        <v>0.3</v>
      </c>
      <c r="D9" s="4">
        <v>0.3</v>
      </c>
      <c r="E9" s="4">
        <v>2.5000000000000001E-2</v>
      </c>
      <c r="F9" s="10">
        <f>IF((C9+D9)/2=0,0,E9/2)</f>
        <v>1.2500000000000001E-2</v>
      </c>
      <c r="G9" s="5">
        <f t="shared" ref="G9:G38" si="0">IF((C9+D9)/2=0,0,$E$3-F9)</f>
        <v>0.23749999999999979</v>
      </c>
      <c r="H9" s="5">
        <f>E9*(C9+D9)/2</f>
        <v>7.4999999999999997E-3</v>
      </c>
      <c r="I9" s="5">
        <f>H9*F9</f>
        <v>9.3750000000000002E-5</v>
      </c>
      <c r="J9" s="6">
        <f t="shared" ref="J9:J38" si="1">IF((C9+D9)/2=0,0,$I$5+$I$3*G9)</f>
        <v>3.5528905713864524E-3</v>
      </c>
      <c r="K9" s="5">
        <f>IF(J9&gt;0,IF(J9&lt;$B$2,(1000*$B$1)*(2*J9/$B$2-J9^2/$B$2^2),(1000*$B$1)),0)/($B$1*1000)</f>
        <v>1</v>
      </c>
      <c r="L9" s="7">
        <f>(K9*$B$1*1000)*H9</f>
        <v>300</v>
      </c>
      <c r="M9" s="8">
        <f>L9*G9</f>
        <v>71.249999999999943</v>
      </c>
      <c r="N9" s="3">
        <v>5</v>
      </c>
      <c r="O9" s="3">
        <v>0.03</v>
      </c>
      <c r="P9" s="5">
        <f t="shared" ref="P9:P38" si="2">IF(N9=0,0,$E$3-O9)</f>
        <v>0.21999999999999981</v>
      </c>
      <c r="Q9" s="6">
        <f t="shared" ref="Q9:Q38" si="3">IF(N9=0,0,$I$5+$I$3*P9)</f>
        <v>3.1853905713864527E-3</v>
      </c>
      <c r="R9" s="7">
        <f>IF(Q9&gt;0,1,-1)*MIN(ABS(Q9)*(10^6*$B$4),(10^3*$B$5)+$C$4*(10^6*$B$4)*(ABS(Q9)-(10^3*$B$5)/(10^6*$B$4)))</f>
        <v>400000</v>
      </c>
      <c r="S9" s="7">
        <f>R9*(N9*10^-4)</f>
        <v>200</v>
      </c>
      <c r="T9" s="8">
        <f>S9*P9</f>
        <v>43.999999999999964</v>
      </c>
      <c r="W9" s="11">
        <v>0</v>
      </c>
      <c r="X9" s="12">
        <v>-3.943512183468556E-13</v>
      </c>
      <c r="Y9" s="11"/>
      <c r="Z9" s="12"/>
      <c r="AA9" s="11"/>
      <c r="AB9" s="12"/>
      <c r="AC9" s="11"/>
      <c r="AD9" s="12"/>
      <c r="AE9" s="11"/>
      <c r="AF9" s="12"/>
      <c r="AG9" s="11"/>
      <c r="AH9" s="12"/>
      <c r="AI9" s="11"/>
      <c r="AJ9" s="12"/>
      <c r="AK9" s="11"/>
      <c r="AL9" s="12"/>
    </row>
    <row r="10" spans="1:38">
      <c r="B10" s="1">
        <v>2</v>
      </c>
      <c r="C10" s="4">
        <v>0.3</v>
      </c>
      <c r="D10" s="4">
        <v>0.3</v>
      </c>
      <c r="E10" s="4">
        <v>2.5000000000000001E-2</v>
      </c>
      <c r="F10" s="10">
        <f>IF((C10+D10)/2=0,0,F9+(E9+E10)/2)</f>
        <v>3.7500000000000006E-2</v>
      </c>
      <c r="G10" s="5">
        <f t="shared" si="0"/>
        <v>0.2124999999999998</v>
      </c>
      <c r="H10" s="5">
        <f>E10*(C10+D10)/2</f>
        <v>7.4999999999999997E-3</v>
      </c>
      <c r="I10" s="5">
        <f t="shared" ref="I10:I32" si="4">H10*F10</f>
        <v>2.8125000000000003E-4</v>
      </c>
      <c r="J10" s="6">
        <f t="shared" si="1"/>
        <v>3.0278905713864521E-3</v>
      </c>
      <c r="K10" s="5">
        <f t="shared" ref="K10:K38" si="5">IF(J10&gt;0,IF(J10&lt;$B$2,(1000*$B$1)*(2*J10/$B$2-J10^2/$B$2^2),(1000*$B$1)),0)/($B$1*1000)</f>
        <v>1</v>
      </c>
      <c r="L10" s="7">
        <f t="shared" ref="L10:L38" si="6">(K10*$B$1*1000)*H10</f>
        <v>300</v>
      </c>
      <c r="M10" s="8">
        <f t="shared" ref="M10:M32" si="7">L10*G10</f>
        <v>63.749999999999943</v>
      </c>
      <c r="N10" s="3">
        <v>5</v>
      </c>
      <c r="O10" s="3">
        <v>0.47</v>
      </c>
      <c r="P10" s="5">
        <f t="shared" si="2"/>
        <v>-0.22000000000000017</v>
      </c>
      <c r="Q10" s="6">
        <f t="shared" si="3"/>
        <v>-6.0546094286135473E-3</v>
      </c>
      <c r="R10" s="7">
        <f t="shared" ref="R10:R38" si="8">IF(Q10&gt;0,1,-1)*MIN(ABS(Q10)*(10^6*$B$4),(10^3*$B$5)+$C$4*(10^6*$B$4)*(ABS(Q10)-(10^3*$B$5)/(10^6*$B$4)))</f>
        <v>-400000</v>
      </c>
      <c r="S10" s="7">
        <f t="shared" ref="S10:S38" si="9">R10*(N10*10^-4)</f>
        <v>-200</v>
      </c>
      <c r="T10" s="8">
        <f t="shared" ref="T10:T38" si="10">S10*P10</f>
        <v>44.000000000000036</v>
      </c>
      <c r="W10" s="11">
        <v>1E-3</v>
      </c>
      <c r="X10" s="12">
        <v>114.40831634135736</v>
      </c>
      <c r="Y10" s="11"/>
      <c r="Z10" s="12"/>
      <c r="AA10" s="11"/>
      <c r="AB10" s="12"/>
      <c r="AC10" s="11"/>
      <c r="AD10" s="12"/>
      <c r="AE10" s="11"/>
      <c r="AF10" s="12"/>
      <c r="AG10" s="11"/>
      <c r="AH10" s="12"/>
      <c r="AI10" s="11"/>
      <c r="AJ10" s="12"/>
      <c r="AK10" s="11"/>
      <c r="AL10" s="12"/>
    </row>
    <row r="11" spans="1:38">
      <c r="B11" s="1">
        <v>3</v>
      </c>
      <c r="C11" s="4">
        <v>0.3</v>
      </c>
      <c r="D11" s="4">
        <v>0.3</v>
      </c>
      <c r="E11" s="4">
        <v>2.5000000000000001E-2</v>
      </c>
      <c r="F11" s="10">
        <f t="shared" ref="F11:F36" si="11">IF((C11+D11)/2=0,0,F10+(E10+E11)/2)</f>
        <v>6.25E-2</v>
      </c>
      <c r="G11" s="5">
        <f t="shared" si="0"/>
        <v>0.18749999999999981</v>
      </c>
      <c r="H11" s="5">
        <f t="shared" ref="H11:H32" si="12">E11*(C11+D11)/2</f>
        <v>7.4999999999999997E-3</v>
      </c>
      <c r="I11" s="5">
        <f t="shared" si="4"/>
        <v>4.6874999999999998E-4</v>
      </c>
      <c r="J11" s="6">
        <f t="shared" si="1"/>
        <v>2.5028905713864527E-3</v>
      </c>
      <c r="K11" s="5">
        <f t="shared" si="5"/>
        <v>1</v>
      </c>
      <c r="L11" s="7">
        <f t="shared" si="6"/>
        <v>300</v>
      </c>
      <c r="M11" s="8">
        <f t="shared" si="7"/>
        <v>56.249999999999943</v>
      </c>
      <c r="O11" s="3"/>
      <c r="P11" s="5">
        <f t="shared" si="2"/>
        <v>0</v>
      </c>
      <c r="Q11" s="6">
        <f t="shared" si="3"/>
        <v>0</v>
      </c>
      <c r="R11" s="7">
        <f t="shared" si="8"/>
        <v>0</v>
      </c>
      <c r="S11" s="7">
        <f t="shared" si="9"/>
        <v>0</v>
      </c>
      <c r="T11" s="8">
        <f t="shared" si="10"/>
        <v>0</v>
      </c>
      <c r="W11" s="11">
        <v>2E-3</v>
      </c>
      <c r="X11" s="12">
        <v>206.96939925108489</v>
      </c>
      <c r="Y11" s="11"/>
      <c r="Z11" s="12"/>
      <c r="AA11" s="11"/>
      <c r="AB11" s="12"/>
      <c r="AC11" s="11"/>
      <c r="AD11" s="12"/>
      <c r="AE11" s="11"/>
      <c r="AF11" s="12"/>
      <c r="AG11" s="11"/>
      <c r="AH11" s="12"/>
      <c r="AI11" s="11"/>
      <c r="AJ11" s="12"/>
      <c r="AK11" s="11"/>
      <c r="AL11" s="12"/>
    </row>
    <row r="12" spans="1:38">
      <c r="B12" s="1">
        <v>4</v>
      </c>
      <c r="C12" s="4">
        <v>0.3</v>
      </c>
      <c r="D12" s="4">
        <v>0.3</v>
      </c>
      <c r="E12" s="4">
        <v>2.5000000000000001E-2</v>
      </c>
      <c r="F12" s="10">
        <f t="shared" si="11"/>
        <v>8.7499999999999994E-2</v>
      </c>
      <c r="G12" s="5">
        <f t="shared" si="0"/>
        <v>0.16249999999999981</v>
      </c>
      <c r="H12" s="5">
        <f t="shared" si="12"/>
        <v>7.4999999999999997E-3</v>
      </c>
      <c r="I12" s="5">
        <f t="shared" si="4"/>
        <v>6.5624999999999993E-4</v>
      </c>
      <c r="J12" s="6">
        <f t="shared" si="1"/>
        <v>1.9778905713864524E-3</v>
      </c>
      <c r="K12" s="5">
        <f t="shared" si="5"/>
        <v>0.99987779329159543</v>
      </c>
      <c r="L12" s="7">
        <f t="shared" si="6"/>
        <v>299.96333798747861</v>
      </c>
      <c r="M12" s="8">
        <f t="shared" si="7"/>
        <v>48.744042422965215</v>
      </c>
      <c r="O12" s="3"/>
      <c r="P12" s="5">
        <f t="shared" si="2"/>
        <v>0</v>
      </c>
      <c r="Q12" s="6">
        <f t="shared" si="3"/>
        <v>0</v>
      </c>
      <c r="R12" s="7">
        <f t="shared" si="8"/>
        <v>0</v>
      </c>
      <c r="S12" s="7">
        <f t="shared" si="9"/>
        <v>0</v>
      </c>
      <c r="T12" s="8">
        <f t="shared" si="10"/>
        <v>0</v>
      </c>
      <c r="W12" s="11">
        <v>3.0000000000000001E-3</v>
      </c>
      <c r="X12" s="12">
        <v>255.80960835894294</v>
      </c>
      <c r="Y12" s="11"/>
      <c r="Z12" s="12"/>
      <c r="AA12" s="11"/>
      <c r="AB12" s="12"/>
      <c r="AC12" s="11"/>
      <c r="AD12" s="12"/>
      <c r="AE12" s="11"/>
      <c r="AF12" s="12"/>
      <c r="AG12" s="11"/>
      <c r="AH12" s="12"/>
      <c r="AI12" s="11"/>
      <c r="AJ12" s="12"/>
      <c r="AK12" s="11"/>
      <c r="AL12" s="12"/>
    </row>
    <row r="13" spans="1:38">
      <c r="B13" s="1">
        <v>5</v>
      </c>
      <c r="C13" s="4">
        <v>0.3</v>
      </c>
      <c r="D13" s="4">
        <v>0.3</v>
      </c>
      <c r="E13" s="4">
        <v>2.5000000000000001E-2</v>
      </c>
      <c r="F13" s="10">
        <f t="shared" si="11"/>
        <v>0.11249999999999999</v>
      </c>
      <c r="G13" s="5">
        <f t="shared" si="0"/>
        <v>0.13749999999999982</v>
      </c>
      <c r="H13" s="5">
        <f t="shared" si="12"/>
        <v>7.4999999999999997E-3</v>
      </c>
      <c r="I13" s="5">
        <f t="shared" si="4"/>
        <v>8.4374999999999988E-4</v>
      </c>
      <c r="J13" s="6">
        <f t="shared" si="1"/>
        <v>1.4528905713864528E-3</v>
      </c>
      <c r="K13" s="5">
        <f t="shared" si="5"/>
        <v>0.92516781828053951</v>
      </c>
      <c r="L13" s="7">
        <f t="shared" si="6"/>
        <v>277.55034548416182</v>
      </c>
      <c r="M13" s="8">
        <f t="shared" si="7"/>
        <v>38.1631725040722</v>
      </c>
      <c r="O13" s="3"/>
      <c r="P13" s="5">
        <f t="shared" si="2"/>
        <v>0</v>
      </c>
      <c r="Q13" s="6">
        <f t="shared" si="3"/>
        <v>0</v>
      </c>
      <c r="R13" s="7">
        <f t="shared" si="8"/>
        <v>0</v>
      </c>
      <c r="S13" s="7">
        <f t="shared" si="9"/>
        <v>0</v>
      </c>
      <c r="T13" s="8">
        <f t="shared" si="10"/>
        <v>0</v>
      </c>
      <c r="W13" s="11">
        <v>4.0000000000000001E-3</v>
      </c>
      <c r="X13" s="12">
        <v>288.94588838089891</v>
      </c>
      <c r="Y13" s="11"/>
      <c r="Z13" s="12"/>
      <c r="AA13" s="11"/>
      <c r="AB13" s="12"/>
      <c r="AC13" s="11"/>
      <c r="AD13" s="12"/>
      <c r="AE13" s="11"/>
      <c r="AF13" s="12"/>
      <c r="AG13" s="11"/>
      <c r="AH13" s="12"/>
      <c r="AI13" s="11"/>
      <c r="AJ13" s="12"/>
      <c r="AK13" s="11"/>
      <c r="AL13" s="12"/>
    </row>
    <row r="14" spans="1:38">
      <c r="B14" s="1">
        <v>6</v>
      </c>
      <c r="C14" s="4">
        <v>0.3</v>
      </c>
      <c r="D14" s="4">
        <v>0.3</v>
      </c>
      <c r="E14" s="4">
        <v>2.5000000000000001E-2</v>
      </c>
      <c r="F14" s="10">
        <f t="shared" si="11"/>
        <v>0.13749999999999998</v>
      </c>
      <c r="G14" s="5">
        <f t="shared" si="0"/>
        <v>0.11249999999999982</v>
      </c>
      <c r="H14" s="5">
        <f t="shared" si="12"/>
        <v>7.4999999999999997E-3</v>
      </c>
      <c r="I14" s="5">
        <f t="shared" si="4"/>
        <v>1.0312499999999998E-3</v>
      </c>
      <c r="J14" s="6">
        <f t="shared" si="1"/>
        <v>9.2789057138645292E-4</v>
      </c>
      <c r="K14" s="5">
        <f t="shared" si="5"/>
        <v>0.71264534326948337</v>
      </c>
      <c r="L14" s="7">
        <f t="shared" si="6"/>
        <v>213.79360298084498</v>
      </c>
      <c r="M14" s="8">
        <f t="shared" si="7"/>
        <v>24.051780335345022</v>
      </c>
      <c r="O14" s="3"/>
      <c r="P14" s="5">
        <f t="shared" si="2"/>
        <v>0</v>
      </c>
      <c r="Q14" s="6">
        <f t="shared" si="3"/>
        <v>0</v>
      </c>
      <c r="R14" s="7">
        <f t="shared" si="8"/>
        <v>0</v>
      </c>
      <c r="S14" s="7">
        <f t="shared" si="9"/>
        <v>0</v>
      </c>
      <c r="T14" s="8">
        <f t="shared" si="10"/>
        <v>0</v>
      </c>
      <c r="W14" s="11">
        <v>5.0000000000000001E-3</v>
      </c>
      <c r="X14" s="12">
        <v>314.97460005244625</v>
      </c>
      <c r="Y14" s="11"/>
      <c r="Z14" s="12"/>
      <c r="AA14" s="11"/>
      <c r="AB14" s="12"/>
      <c r="AC14" s="11"/>
      <c r="AD14" s="12"/>
      <c r="AE14" s="11"/>
      <c r="AF14" s="12"/>
      <c r="AG14" s="11"/>
      <c r="AH14" s="12"/>
      <c r="AI14" s="11"/>
      <c r="AJ14" s="12"/>
      <c r="AK14" s="11"/>
      <c r="AL14" s="12"/>
    </row>
    <row r="15" spans="1:38">
      <c r="B15" s="1">
        <v>7</v>
      </c>
      <c r="C15" s="4">
        <v>0.3</v>
      </c>
      <c r="D15" s="4">
        <v>0.3</v>
      </c>
      <c r="E15" s="4">
        <v>2.5000000000000001E-2</v>
      </c>
      <c r="F15" s="10">
        <f t="shared" si="11"/>
        <v>0.16249999999999998</v>
      </c>
      <c r="G15" s="5">
        <f t="shared" si="0"/>
        <v>8.7499999999999828E-2</v>
      </c>
      <c r="H15" s="5">
        <f t="shared" si="12"/>
        <v>7.4999999999999997E-3</v>
      </c>
      <c r="I15" s="5">
        <f t="shared" si="4"/>
        <v>1.2187499999999998E-3</v>
      </c>
      <c r="J15" s="6">
        <f t="shared" si="1"/>
        <v>4.0289057138645284E-4</v>
      </c>
      <c r="K15" s="5">
        <f t="shared" si="5"/>
        <v>0.36231036825842722</v>
      </c>
      <c r="L15" s="7">
        <f t="shared" si="6"/>
        <v>108.69311047752815</v>
      </c>
      <c r="M15" s="8">
        <f t="shared" si="7"/>
        <v>9.5106471667836949</v>
      </c>
      <c r="O15" s="3"/>
      <c r="P15" s="5">
        <f t="shared" si="2"/>
        <v>0</v>
      </c>
      <c r="Q15" s="6">
        <f t="shared" si="3"/>
        <v>0</v>
      </c>
      <c r="R15" s="7">
        <f t="shared" si="8"/>
        <v>0</v>
      </c>
      <c r="S15" s="7">
        <f t="shared" si="9"/>
        <v>0</v>
      </c>
      <c r="T15" s="8">
        <f t="shared" si="10"/>
        <v>0</v>
      </c>
      <c r="W15" s="11">
        <v>6.0000000000000001E-3</v>
      </c>
      <c r="X15" s="12">
        <v>337.18777831007645</v>
      </c>
      <c r="Y15" s="11"/>
      <c r="Z15" s="12"/>
      <c r="AA15" s="11"/>
      <c r="AB15" s="12"/>
      <c r="AC15" s="11"/>
      <c r="AD15" s="12"/>
      <c r="AE15" s="11"/>
      <c r="AF15" s="12"/>
      <c r="AG15" s="11"/>
      <c r="AH15" s="12"/>
      <c r="AI15" s="11"/>
      <c r="AJ15" s="12"/>
      <c r="AK15" s="11"/>
      <c r="AL15" s="12"/>
    </row>
    <row r="16" spans="1:38">
      <c r="B16" s="1">
        <v>8</v>
      </c>
      <c r="C16" s="4">
        <v>0.3</v>
      </c>
      <c r="D16" s="4">
        <v>0.3</v>
      </c>
      <c r="E16" s="4">
        <v>2.5000000000000001E-2</v>
      </c>
      <c r="F16" s="10">
        <f t="shared" si="11"/>
        <v>0.18749999999999997</v>
      </c>
      <c r="G16" s="5">
        <f t="shared" si="0"/>
        <v>6.2499999999999833E-2</v>
      </c>
      <c r="H16" s="5">
        <f t="shared" si="12"/>
        <v>7.4999999999999997E-3</v>
      </c>
      <c r="I16" s="5">
        <f t="shared" si="4"/>
        <v>1.4062499999999997E-3</v>
      </c>
      <c r="J16" s="6">
        <f t="shared" si="1"/>
        <v>-1.2210942861354702E-4</v>
      </c>
      <c r="K16" s="5">
        <f t="shared" si="5"/>
        <v>0</v>
      </c>
      <c r="L16" s="7">
        <f t="shared" si="6"/>
        <v>0</v>
      </c>
      <c r="M16" s="8">
        <f t="shared" si="7"/>
        <v>0</v>
      </c>
      <c r="O16" s="3"/>
      <c r="P16" s="5">
        <f t="shared" si="2"/>
        <v>0</v>
      </c>
      <c r="Q16" s="6">
        <f t="shared" si="3"/>
        <v>0</v>
      </c>
      <c r="R16" s="7">
        <f t="shared" si="8"/>
        <v>0</v>
      </c>
      <c r="S16" s="7">
        <f t="shared" si="9"/>
        <v>0</v>
      </c>
      <c r="T16" s="8">
        <f t="shared" si="10"/>
        <v>0</v>
      </c>
      <c r="W16" s="11">
        <v>7.0000000000000001E-3</v>
      </c>
      <c r="X16" s="12">
        <v>356.20567431931454</v>
      </c>
      <c r="Y16" s="11"/>
      <c r="Z16" s="12"/>
      <c r="AA16" s="11"/>
      <c r="AB16" s="12"/>
      <c r="AC16" s="11"/>
      <c r="AD16" s="12"/>
      <c r="AE16" s="11"/>
      <c r="AF16" s="12"/>
      <c r="AG16" s="11"/>
      <c r="AH16" s="12"/>
      <c r="AI16" s="11"/>
      <c r="AJ16" s="12"/>
      <c r="AK16" s="11"/>
      <c r="AL16" s="12"/>
    </row>
    <row r="17" spans="2:38">
      <c r="B17" s="1">
        <v>9</v>
      </c>
      <c r="C17" s="4">
        <v>0.3</v>
      </c>
      <c r="D17" s="4">
        <v>0.3</v>
      </c>
      <c r="E17" s="4">
        <v>2.5000000000000001E-2</v>
      </c>
      <c r="F17" s="10">
        <f t="shared" si="11"/>
        <v>0.21249999999999997</v>
      </c>
      <c r="G17" s="5">
        <f t="shared" si="0"/>
        <v>3.7499999999999839E-2</v>
      </c>
      <c r="H17" s="5">
        <f t="shared" si="12"/>
        <v>7.4999999999999997E-3</v>
      </c>
      <c r="I17" s="5">
        <f t="shared" si="4"/>
        <v>1.5937499999999997E-3</v>
      </c>
      <c r="J17" s="6">
        <f t="shared" si="1"/>
        <v>-6.4710942861354699E-4</v>
      </c>
      <c r="K17" s="5">
        <f t="shared" si="5"/>
        <v>0</v>
      </c>
      <c r="L17" s="7">
        <f t="shared" si="6"/>
        <v>0</v>
      </c>
      <c r="M17" s="8">
        <f t="shared" si="7"/>
        <v>0</v>
      </c>
      <c r="O17" s="3"/>
      <c r="P17" s="5">
        <f t="shared" si="2"/>
        <v>0</v>
      </c>
      <c r="Q17" s="6">
        <f t="shared" si="3"/>
        <v>0</v>
      </c>
      <c r="R17" s="7">
        <f t="shared" si="8"/>
        <v>0</v>
      </c>
      <c r="S17" s="7"/>
      <c r="T17" s="8">
        <f t="shared" si="10"/>
        <v>0</v>
      </c>
      <c r="W17" s="11">
        <v>8.0000000000000002E-3</v>
      </c>
      <c r="X17" s="12">
        <v>373.8512379952432</v>
      </c>
      <c r="Y17" s="11"/>
      <c r="Z17" s="12"/>
      <c r="AA17" s="11"/>
      <c r="AB17" s="12"/>
      <c r="AC17" s="11"/>
      <c r="AD17" s="12"/>
      <c r="AE17" s="11"/>
      <c r="AF17" s="12"/>
      <c r="AG17" s="11"/>
      <c r="AH17" s="12"/>
      <c r="AI17" s="11"/>
      <c r="AJ17" s="12"/>
      <c r="AK17" s="11"/>
      <c r="AL17" s="12"/>
    </row>
    <row r="18" spans="2:38">
      <c r="B18" s="1">
        <v>10</v>
      </c>
      <c r="C18" s="4">
        <v>0.3</v>
      </c>
      <c r="D18" s="4">
        <v>0.3</v>
      </c>
      <c r="E18" s="4">
        <v>2.5000000000000001E-2</v>
      </c>
      <c r="F18" s="10">
        <f t="shared" si="11"/>
        <v>0.23749999999999996</v>
      </c>
      <c r="G18" s="5">
        <f t="shared" si="0"/>
        <v>1.2499999999999845E-2</v>
      </c>
      <c r="H18" s="5">
        <f t="shared" si="12"/>
        <v>7.4999999999999997E-3</v>
      </c>
      <c r="I18" s="5">
        <f t="shared" si="4"/>
        <v>1.7812499999999996E-3</v>
      </c>
      <c r="J18" s="6">
        <f t="shared" si="1"/>
        <v>-1.172109428613547E-3</v>
      </c>
      <c r="K18" s="5">
        <f t="shared" si="5"/>
        <v>0</v>
      </c>
      <c r="L18" s="7">
        <f t="shared" si="6"/>
        <v>0</v>
      </c>
      <c r="M18" s="8">
        <f t="shared" si="7"/>
        <v>0</v>
      </c>
      <c r="O18" s="3"/>
      <c r="P18" s="5">
        <f t="shared" si="2"/>
        <v>0</v>
      </c>
      <c r="Q18" s="6">
        <f t="shared" si="3"/>
        <v>0</v>
      </c>
      <c r="R18" s="7">
        <f t="shared" si="8"/>
        <v>0</v>
      </c>
      <c r="S18" s="7">
        <f t="shared" si="9"/>
        <v>0</v>
      </c>
      <c r="T18" s="8">
        <f t="shared" si="10"/>
        <v>0</v>
      </c>
      <c r="W18" s="11">
        <v>9.0000000000000011E-3</v>
      </c>
      <c r="X18" s="12">
        <v>383.15811290333363</v>
      </c>
      <c r="Y18" s="11"/>
      <c r="Z18" s="12"/>
      <c r="AA18" s="11"/>
      <c r="AB18" s="12"/>
      <c r="AC18" s="11"/>
      <c r="AD18" s="12"/>
      <c r="AE18" s="11"/>
      <c r="AF18" s="12"/>
      <c r="AG18" s="11"/>
      <c r="AH18" s="12"/>
      <c r="AI18" s="11"/>
      <c r="AJ18" s="12"/>
      <c r="AK18" s="11"/>
      <c r="AL18" s="12"/>
    </row>
    <row r="19" spans="2:38">
      <c r="B19" s="1">
        <v>11</v>
      </c>
      <c r="C19" s="4">
        <v>0.3</v>
      </c>
      <c r="D19" s="4">
        <v>0.3</v>
      </c>
      <c r="E19" s="4">
        <v>2.5000000000000001E-2</v>
      </c>
      <c r="F19" s="10">
        <f t="shared" si="11"/>
        <v>0.26249999999999996</v>
      </c>
      <c r="G19" s="5">
        <f t="shared" si="0"/>
        <v>-1.250000000000015E-2</v>
      </c>
      <c r="H19" s="5">
        <f t="shared" si="12"/>
        <v>7.4999999999999997E-3</v>
      </c>
      <c r="I19" s="5">
        <f t="shared" si="4"/>
        <v>1.9687499999999996E-3</v>
      </c>
      <c r="J19" s="6">
        <f t="shared" si="1"/>
        <v>-1.6971094286135468E-3</v>
      </c>
      <c r="K19" s="5">
        <f t="shared" si="5"/>
        <v>0</v>
      </c>
      <c r="L19" s="7">
        <f t="shared" si="6"/>
        <v>0</v>
      </c>
      <c r="M19" s="8">
        <f t="shared" si="7"/>
        <v>0</v>
      </c>
      <c r="O19" s="3"/>
      <c r="P19" s="5">
        <f t="shared" si="2"/>
        <v>0</v>
      </c>
      <c r="Q19" s="6">
        <f t="shared" si="3"/>
        <v>0</v>
      </c>
      <c r="R19" s="7">
        <f t="shared" si="8"/>
        <v>0</v>
      </c>
      <c r="S19" s="7">
        <f t="shared" si="9"/>
        <v>0</v>
      </c>
      <c r="T19" s="8">
        <f t="shared" si="10"/>
        <v>0</v>
      </c>
      <c r="W19" s="11">
        <v>0.01</v>
      </c>
      <c r="X19" s="12">
        <v>387.83147127611721</v>
      </c>
      <c r="Y19" s="11"/>
      <c r="Z19" s="12"/>
      <c r="AA19" s="11"/>
      <c r="AB19" s="12"/>
      <c r="AC19" s="11"/>
      <c r="AD19" s="12"/>
      <c r="AE19" s="11"/>
      <c r="AF19" s="12"/>
      <c r="AG19" s="11"/>
      <c r="AH19" s="12"/>
      <c r="AI19" s="11"/>
      <c r="AJ19" s="12"/>
      <c r="AK19" s="11"/>
      <c r="AL19" s="12"/>
    </row>
    <row r="20" spans="2:38">
      <c r="B20" s="1">
        <v>12</v>
      </c>
      <c r="C20" s="4">
        <v>0.3</v>
      </c>
      <c r="D20" s="4">
        <v>0.3</v>
      </c>
      <c r="E20" s="4">
        <v>2.5000000000000001E-2</v>
      </c>
      <c r="F20" s="10">
        <f t="shared" si="11"/>
        <v>0.28749999999999998</v>
      </c>
      <c r="G20" s="5">
        <f t="shared" si="0"/>
        <v>-3.7500000000000172E-2</v>
      </c>
      <c r="H20" s="5">
        <f t="shared" si="12"/>
        <v>7.4999999999999997E-3</v>
      </c>
      <c r="I20" s="5">
        <f t="shared" si="4"/>
        <v>2.1562499999999997E-3</v>
      </c>
      <c r="J20" s="6">
        <f t="shared" si="1"/>
        <v>-2.2221094286135473E-3</v>
      </c>
      <c r="K20" s="5">
        <f t="shared" si="5"/>
        <v>0</v>
      </c>
      <c r="L20" s="7">
        <f t="shared" si="6"/>
        <v>0</v>
      </c>
      <c r="M20" s="8">
        <f t="shared" si="7"/>
        <v>0</v>
      </c>
      <c r="O20" s="3"/>
      <c r="P20" s="5">
        <f t="shared" si="2"/>
        <v>0</v>
      </c>
      <c r="Q20" s="6">
        <f t="shared" si="3"/>
        <v>0</v>
      </c>
      <c r="R20" s="7">
        <f t="shared" si="8"/>
        <v>0</v>
      </c>
      <c r="S20" s="7">
        <f t="shared" si="9"/>
        <v>0</v>
      </c>
      <c r="T20" s="8">
        <f t="shared" si="10"/>
        <v>0</v>
      </c>
      <c r="W20" s="11">
        <v>1.0999999999999999E-2</v>
      </c>
      <c r="X20" s="12">
        <v>391.87613283001178</v>
      </c>
      <c r="Y20" s="11"/>
      <c r="Z20" s="12"/>
      <c r="AA20" s="11"/>
      <c r="AB20" s="12"/>
      <c r="AC20" s="11"/>
      <c r="AD20" s="12"/>
      <c r="AE20" s="11"/>
      <c r="AF20" s="12"/>
      <c r="AG20" s="11"/>
      <c r="AH20" s="12"/>
      <c r="AI20" s="11"/>
      <c r="AJ20" s="12"/>
      <c r="AK20" s="11"/>
      <c r="AL20" s="12"/>
    </row>
    <row r="21" spans="2:38">
      <c r="B21" s="1">
        <v>13</v>
      </c>
      <c r="C21" s="4">
        <v>0.3</v>
      </c>
      <c r="D21" s="4">
        <v>0.3</v>
      </c>
      <c r="E21" s="4">
        <v>2.5000000000000001E-2</v>
      </c>
      <c r="F21" s="10">
        <f t="shared" si="11"/>
        <v>0.3125</v>
      </c>
      <c r="G21" s="5">
        <f t="shared" si="0"/>
        <v>-6.2500000000000194E-2</v>
      </c>
      <c r="H21" s="5">
        <f t="shared" si="12"/>
        <v>7.4999999999999997E-3</v>
      </c>
      <c r="I21" s="5">
        <f t="shared" si="4"/>
        <v>2.3437499999999999E-3</v>
      </c>
      <c r="J21" s="6">
        <f t="shared" si="1"/>
        <v>-2.7471094286135476E-3</v>
      </c>
      <c r="K21" s="5">
        <f t="shared" si="5"/>
        <v>0</v>
      </c>
      <c r="L21" s="7">
        <f t="shared" si="6"/>
        <v>0</v>
      </c>
      <c r="M21" s="8">
        <f t="shared" si="7"/>
        <v>0</v>
      </c>
      <c r="O21" s="3"/>
      <c r="P21" s="5">
        <f t="shared" si="2"/>
        <v>0</v>
      </c>
      <c r="Q21" s="6">
        <f t="shared" si="3"/>
        <v>0</v>
      </c>
      <c r="R21" s="7">
        <f t="shared" si="8"/>
        <v>0</v>
      </c>
      <c r="S21" s="7">
        <f t="shared" si="9"/>
        <v>0</v>
      </c>
      <c r="T21" s="8">
        <f t="shared" si="10"/>
        <v>0</v>
      </c>
      <c r="W21" s="11">
        <v>1.2E-2</v>
      </c>
      <c r="X21" s="12">
        <v>393.37286580372921</v>
      </c>
      <c r="Y21" s="11"/>
      <c r="Z21" s="12"/>
      <c r="AA21" s="11"/>
      <c r="AB21" s="12"/>
      <c r="AC21" s="11"/>
      <c r="AD21" s="12"/>
      <c r="AE21" s="11"/>
      <c r="AF21" s="12"/>
      <c r="AG21" s="11"/>
      <c r="AH21" s="12"/>
      <c r="AI21" s="11"/>
      <c r="AJ21" s="12"/>
      <c r="AK21" s="11"/>
      <c r="AL21" s="12"/>
    </row>
    <row r="22" spans="2:38">
      <c r="B22" s="1">
        <v>14</v>
      </c>
      <c r="C22" s="4">
        <v>0.3</v>
      </c>
      <c r="D22" s="4">
        <v>0.3</v>
      </c>
      <c r="E22" s="4">
        <v>2.5000000000000001E-2</v>
      </c>
      <c r="F22" s="10">
        <f t="shared" si="11"/>
        <v>0.33750000000000002</v>
      </c>
      <c r="G22" s="5">
        <f t="shared" si="0"/>
        <v>-8.7500000000000216E-2</v>
      </c>
      <c r="H22" s="5">
        <f t="shared" si="12"/>
        <v>7.4999999999999997E-3</v>
      </c>
      <c r="I22" s="5">
        <f t="shared" si="4"/>
        <v>2.5312500000000001E-3</v>
      </c>
      <c r="J22" s="6">
        <f t="shared" si="1"/>
        <v>-3.2721094286135483E-3</v>
      </c>
      <c r="K22" s="5">
        <f t="shared" si="5"/>
        <v>0</v>
      </c>
      <c r="L22" s="7">
        <f t="shared" si="6"/>
        <v>0</v>
      </c>
      <c r="M22" s="8">
        <f t="shared" si="7"/>
        <v>0</v>
      </c>
      <c r="O22" s="3"/>
      <c r="P22" s="5">
        <f t="shared" si="2"/>
        <v>0</v>
      </c>
      <c r="Q22" s="6">
        <f t="shared" si="3"/>
        <v>0</v>
      </c>
      <c r="R22" s="7">
        <f t="shared" si="8"/>
        <v>0</v>
      </c>
      <c r="S22" s="7">
        <f t="shared" si="9"/>
        <v>0</v>
      </c>
      <c r="T22" s="8">
        <f t="shared" si="10"/>
        <v>0</v>
      </c>
      <c r="W22" s="11">
        <v>1.3000000000000001E-2</v>
      </c>
      <c r="X22" s="12">
        <v>394.59582887137088</v>
      </c>
      <c r="Y22" s="11"/>
      <c r="Z22" s="12"/>
      <c r="AA22" s="11"/>
      <c r="AB22" s="12"/>
      <c r="AC22" s="11"/>
      <c r="AD22" s="12"/>
      <c r="AE22" s="11"/>
      <c r="AF22" s="12"/>
      <c r="AG22" s="11"/>
      <c r="AH22" s="12"/>
      <c r="AI22" s="11"/>
      <c r="AJ22" s="12"/>
      <c r="AK22" s="11"/>
      <c r="AL22" s="12"/>
    </row>
    <row r="23" spans="2:38">
      <c r="B23" s="1">
        <v>15</v>
      </c>
      <c r="C23" s="4">
        <v>0.3</v>
      </c>
      <c r="D23" s="4">
        <v>0.3</v>
      </c>
      <c r="E23" s="4">
        <v>2.5000000000000001E-2</v>
      </c>
      <c r="F23" s="10">
        <f t="shared" si="11"/>
        <v>0.36250000000000004</v>
      </c>
      <c r="G23" s="5">
        <f t="shared" si="0"/>
        <v>-0.11250000000000024</v>
      </c>
      <c r="H23" s="5">
        <f t="shared" si="12"/>
        <v>7.4999999999999997E-3</v>
      </c>
      <c r="I23" s="5">
        <f t="shared" si="4"/>
        <v>2.7187500000000002E-3</v>
      </c>
      <c r="J23" s="6">
        <f t="shared" si="1"/>
        <v>-3.7971094286135491E-3</v>
      </c>
      <c r="K23" s="5">
        <f t="shared" si="5"/>
        <v>0</v>
      </c>
      <c r="L23" s="7">
        <f t="shared" si="6"/>
        <v>0</v>
      </c>
      <c r="M23" s="8">
        <f t="shared" si="7"/>
        <v>0</v>
      </c>
      <c r="O23" s="3"/>
      <c r="P23" s="5">
        <f t="shared" si="2"/>
        <v>0</v>
      </c>
      <c r="Q23" s="6">
        <f t="shared" si="3"/>
        <v>0</v>
      </c>
      <c r="R23" s="7">
        <f t="shared" si="8"/>
        <v>0</v>
      </c>
      <c r="S23" s="7">
        <f t="shared" si="9"/>
        <v>0</v>
      </c>
      <c r="T23" s="8">
        <f t="shared" si="10"/>
        <v>0</v>
      </c>
      <c r="W23" s="11">
        <v>1.4E-2</v>
      </c>
      <c r="X23" s="12">
        <v>395.6919370974432</v>
      </c>
      <c r="Y23" s="11"/>
      <c r="Z23" s="12"/>
      <c r="AA23" s="11"/>
      <c r="AB23" s="12"/>
      <c r="AC23" s="11"/>
      <c r="AD23" s="12"/>
      <c r="AE23" s="11"/>
      <c r="AF23" s="12"/>
      <c r="AG23" s="11"/>
      <c r="AH23" s="12"/>
      <c r="AI23" s="11"/>
      <c r="AJ23" s="12"/>
      <c r="AK23" s="11"/>
      <c r="AL23" s="12"/>
    </row>
    <row r="24" spans="2:38">
      <c r="B24" s="1">
        <v>16</v>
      </c>
      <c r="C24" s="4">
        <v>0.3</v>
      </c>
      <c r="D24" s="4">
        <v>0.3</v>
      </c>
      <c r="E24" s="4">
        <v>2.5000000000000001E-2</v>
      </c>
      <c r="F24" s="10">
        <f t="shared" si="11"/>
        <v>0.38750000000000007</v>
      </c>
      <c r="G24" s="5">
        <f t="shared" si="0"/>
        <v>-0.13750000000000026</v>
      </c>
      <c r="H24" s="5">
        <f t="shared" si="12"/>
        <v>7.4999999999999997E-3</v>
      </c>
      <c r="I24" s="5">
        <f t="shared" si="4"/>
        <v>2.9062500000000004E-3</v>
      </c>
      <c r="J24" s="6">
        <f t="shared" si="1"/>
        <v>-4.3221094286135494E-3</v>
      </c>
      <c r="K24" s="5">
        <f t="shared" si="5"/>
        <v>0</v>
      </c>
      <c r="L24" s="7">
        <f t="shared" si="6"/>
        <v>0</v>
      </c>
      <c r="M24" s="8">
        <f t="shared" si="7"/>
        <v>0</v>
      </c>
      <c r="O24" s="3"/>
      <c r="P24" s="5">
        <f t="shared" si="2"/>
        <v>0</v>
      </c>
      <c r="Q24" s="6">
        <f t="shared" si="3"/>
        <v>0</v>
      </c>
      <c r="R24" s="7">
        <f t="shared" si="8"/>
        <v>0</v>
      </c>
      <c r="S24" s="7">
        <f t="shared" si="9"/>
        <v>0</v>
      </c>
      <c r="T24" s="8">
        <f t="shared" si="10"/>
        <v>0</v>
      </c>
      <c r="W24" s="11">
        <v>1.4999999999999999E-2</v>
      </c>
      <c r="X24" s="12">
        <v>396.64520564591032</v>
      </c>
      <c r="Y24" s="11"/>
      <c r="Z24" s="12"/>
      <c r="AA24" s="11"/>
      <c r="AB24" s="12"/>
      <c r="AC24" s="11"/>
      <c r="AD24" s="12"/>
      <c r="AE24" s="11"/>
      <c r="AF24" s="12"/>
      <c r="AG24" s="11"/>
      <c r="AH24" s="12"/>
      <c r="AI24" s="11"/>
      <c r="AJ24" s="12"/>
      <c r="AK24" s="11"/>
      <c r="AL24" s="12"/>
    </row>
    <row r="25" spans="2:38">
      <c r="B25" s="1">
        <v>17</v>
      </c>
      <c r="C25" s="4">
        <v>0.3</v>
      </c>
      <c r="D25" s="4">
        <v>0.3</v>
      </c>
      <c r="E25" s="4">
        <v>2.5000000000000001E-2</v>
      </c>
      <c r="F25" s="10">
        <f t="shared" si="11"/>
        <v>0.41250000000000009</v>
      </c>
      <c r="G25" s="5">
        <f t="shared" si="0"/>
        <v>-0.16250000000000028</v>
      </c>
      <c r="H25" s="5">
        <f t="shared" si="12"/>
        <v>7.4999999999999997E-3</v>
      </c>
      <c r="I25" s="5">
        <f t="shared" si="4"/>
        <v>3.0937500000000006E-3</v>
      </c>
      <c r="J25" s="6">
        <f t="shared" si="1"/>
        <v>-4.8471094286135497E-3</v>
      </c>
      <c r="K25" s="5">
        <f t="shared" si="5"/>
        <v>0</v>
      </c>
      <c r="L25" s="7">
        <f t="shared" si="6"/>
        <v>0</v>
      </c>
      <c r="M25" s="8">
        <f t="shared" si="7"/>
        <v>0</v>
      </c>
      <c r="O25" s="3"/>
      <c r="P25" s="5">
        <f t="shared" si="2"/>
        <v>0</v>
      </c>
      <c r="Q25" s="6">
        <f t="shared" si="3"/>
        <v>0</v>
      </c>
      <c r="R25" s="7">
        <f t="shared" si="8"/>
        <v>0</v>
      </c>
      <c r="S25" s="7">
        <f t="shared" si="9"/>
        <v>0</v>
      </c>
      <c r="T25" s="8">
        <f t="shared" si="10"/>
        <v>0</v>
      </c>
      <c r="W25" s="11">
        <v>1.6E-2</v>
      </c>
      <c r="X25" s="12">
        <v>397.47058137474863</v>
      </c>
      <c r="Y25" s="11"/>
      <c r="Z25" s="12"/>
      <c r="AA25" s="11"/>
      <c r="AB25" s="12"/>
      <c r="AC25" s="11"/>
      <c r="AD25" s="12"/>
      <c r="AE25" s="11"/>
      <c r="AF25" s="12"/>
      <c r="AG25" s="11"/>
      <c r="AH25" s="12"/>
      <c r="AI25" s="11"/>
      <c r="AJ25" s="12"/>
      <c r="AK25" s="11"/>
      <c r="AL25" s="12"/>
    </row>
    <row r="26" spans="2:38">
      <c r="B26" s="1">
        <v>18</v>
      </c>
      <c r="C26" s="4">
        <v>0.3</v>
      </c>
      <c r="D26" s="4">
        <v>0.3</v>
      </c>
      <c r="E26" s="4">
        <v>2.5000000000000001E-2</v>
      </c>
      <c r="F26" s="10">
        <f t="shared" si="11"/>
        <v>0.43750000000000011</v>
      </c>
      <c r="G26" s="5">
        <f t="shared" si="0"/>
        <v>-0.18750000000000031</v>
      </c>
      <c r="H26" s="5">
        <f t="shared" si="12"/>
        <v>7.4999999999999997E-3</v>
      </c>
      <c r="I26" s="5">
        <f t="shared" si="4"/>
        <v>3.2812500000000007E-3</v>
      </c>
      <c r="J26" s="6">
        <f t="shared" si="1"/>
        <v>-5.3721094286135508E-3</v>
      </c>
      <c r="K26" s="5">
        <f t="shared" si="5"/>
        <v>0</v>
      </c>
      <c r="L26" s="7">
        <f t="shared" si="6"/>
        <v>0</v>
      </c>
      <c r="M26" s="8">
        <f t="shared" si="7"/>
        <v>0</v>
      </c>
      <c r="O26" s="3"/>
      <c r="P26" s="5">
        <f t="shared" si="2"/>
        <v>0</v>
      </c>
      <c r="Q26" s="6">
        <f t="shared" si="3"/>
        <v>0</v>
      </c>
      <c r="R26" s="7">
        <f t="shared" si="8"/>
        <v>0</v>
      </c>
      <c r="S26" s="7">
        <f t="shared" si="9"/>
        <v>0</v>
      </c>
      <c r="T26" s="8">
        <f t="shared" si="10"/>
        <v>0</v>
      </c>
      <c r="W26" s="11">
        <v>1.7000000000000001E-2</v>
      </c>
      <c r="X26" s="12">
        <v>398.2383224859189</v>
      </c>
      <c r="Y26" s="11"/>
      <c r="Z26" s="12"/>
      <c r="AA26" s="11"/>
      <c r="AB26" s="12"/>
      <c r="AC26" s="11"/>
      <c r="AD26" s="12"/>
      <c r="AE26" s="11"/>
      <c r="AF26" s="12"/>
      <c r="AG26" s="11"/>
      <c r="AH26" s="12"/>
      <c r="AI26" s="11"/>
      <c r="AJ26" s="12"/>
      <c r="AK26" s="11"/>
      <c r="AL26" s="12"/>
    </row>
    <row r="27" spans="2:38">
      <c r="B27" s="1">
        <v>19</v>
      </c>
      <c r="C27" s="4">
        <v>0.3</v>
      </c>
      <c r="D27" s="4">
        <v>0.3</v>
      </c>
      <c r="E27" s="4">
        <v>2.5000000000000001E-2</v>
      </c>
      <c r="F27" s="10">
        <f t="shared" si="11"/>
        <v>0.46250000000000013</v>
      </c>
      <c r="G27" s="5">
        <f t="shared" si="0"/>
        <v>-0.21250000000000033</v>
      </c>
      <c r="H27" s="5">
        <f t="shared" si="12"/>
        <v>7.4999999999999997E-3</v>
      </c>
      <c r="I27" s="5">
        <f t="shared" si="4"/>
        <v>3.4687500000000009E-3</v>
      </c>
      <c r="J27" s="6">
        <f t="shared" si="1"/>
        <v>-5.8971094286135511E-3</v>
      </c>
      <c r="K27" s="5">
        <f t="shared" si="5"/>
        <v>0</v>
      </c>
      <c r="L27" s="7">
        <f t="shared" si="6"/>
        <v>0</v>
      </c>
      <c r="M27" s="8">
        <f t="shared" si="7"/>
        <v>0</v>
      </c>
      <c r="O27" s="3"/>
      <c r="P27" s="5">
        <f t="shared" si="2"/>
        <v>0</v>
      </c>
      <c r="Q27" s="6">
        <f t="shared" si="3"/>
        <v>0</v>
      </c>
      <c r="R27" s="7">
        <f t="shared" si="8"/>
        <v>0</v>
      </c>
      <c r="S27" s="7">
        <f t="shared" si="9"/>
        <v>0</v>
      </c>
      <c r="T27" s="8">
        <f t="shared" si="10"/>
        <v>0</v>
      </c>
      <c r="W27" s="11">
        <v>1.8000000000000002E-2</v>
      </c>
      <c r="X27" s="12">
        <v>398.94710377549495</v>
      </c>
      <c r="Y27" s="11"/>
      <c r="Z27" s="12"/>
      <c r="AA27" s="11"/>
      <c r="AB27" s="12"/>
      <c r="AC27" s="11"/>
      <c r="AD27" s="12"/>
      <c r="AE27" s="11"/>
      <c r="AF27" s="12"/>
      <c r="AG27" s="11"/>
      <c r="AH27" s="12"/>
      <c r="AI27" s="11"/>
      <c r="AJ27" s="12"/>
      <c r="AK27" s="11"/>
      <c r="AL27" s="12"/>
    </row>
    <row r="28" spans="2:38">
      <c r="B28" s="1">
        <v>20</v>
      </c>
      <c r="C28" s="4">
        <v>0.3</v>
      </c>
      <c r="D28" s="4">
        <v>0.3</v>
      </c>
      <c r="E28" s="4">
        <v>2.5000000000000001E-2</v>
      </c>
      <c r="F28" s="10">
        <f t="shared" si="11"/>
        <v>0.48750000000000016</v>
      </c>
      <c r="G28" s="5">
        <f t="shared" si="0"/>
        <v>-0.23750000000000035</v>
      </c>
      <c r="H28" s="5">
        <f t="shared" si="12"/>
        <v>7.4999999999999997E-3</v>
      </c>
      <c r="I28" s="5">
        <f t="shared" si="4"/>
        <v>3.6562500000000011E-3</v>
      </c>
      <c r="J28" s="6">
        <f t="shared" si="1"/>
        <v>-6.4221094286135514E-3</v>
      </c>
      <c r="K28" s="5">
        <f t="shared" si="5"/>
        <v>0</v>
      </c>
      <c r="L28" s="7">
        <f t="shared" si="6"/>
        <v>0</v>
      </c>
      <c r="M28" s="8">
        <f t="shared" si="7"/>
        <v>0</v>
      </c>
      <c r="O28" s="3"/>
      <c r="P28" s="5">
        <f t="shared" si="2"/>
        <v>0</v>
      </c>
      <c r="Q28" s="6">
        <f t="shared" si="3"/>
        <v>0</v>
      </c>
      <c r="R28" s="7">
        <f t="shared" si="8"/>
        <v>0</v>
      </c>
      <c r="S28" s="7">
        <f t="shared" si="9"/>
        <v>0</v>
      </c>
      <c r="T28" s="8">
        <f t="shared" si="10"/>
        <v>0</v>
      </c>
      <c r="W28" s="11">
        <v>1.9E-2</v>
      </c>
      <c r="X28" s="12">
        <v>399.29653713306499</v>
      </c>
      <c r="Y28" s="11"/>
      <c r="Z28" s="12"/>
      <c r="AA28" s="11"/>
      <c r="AB28" s="12"/>
      <c r="AC28" s="11"/>
      <c r="AD28" s="12"/>
      <c r="AE28" s="11"/>
      <c r="AF28" s="12"/>
      <c r="AG28" s="11"/>
      <c r="AH28" s="12"/>
      <c r="AI28" s="11"/>
      <c r="AJ28" s="12"/>
      <c r="AK28" s="11"/>
      <c r="AL28" s="12"/>
    </row>
    <row r="29" spans="2:38">
      <c r="B29" s="1">
        <v>21</v>
      </c>
      <c r="C29" s="4"/>
      <c r="D29" s="4"/>
      <c r="E29" s="4"/>
      <c r="F29" s="10">
        <f t="shared" si="11"/>
        <v>0</v>
      </c>
      <c r="G29" s="5">
        <f t="shared" si="0"/>
        <v>0</v>
      </c>
      <c r="H29" s="5">
        <f t="shared" si="12"/>
        <v>0</v>
      </c>
      <c r="I29" s="5">
        <f t="shared" si="4"/>
        <v>0</v>
      </c>
      <c r="J29" s="6">
        <f t="shared" si="1"/>
        <v>0</v>
      </c>
      <c r="K29" s="5">
        <f t="shared" si="5"/>
        <v>0</v>
      </c>
      <c r="L29" s="7">
        <f t="shared" si="6"/>
        <v>0</v>
      </c>
      <c r="M29" s="8">
        <f t="shared" si="7"/>
        <v>0</v>
      </c>
      <c r="O29" s="3"/>
      <c r="P29" s="5">
        <f t="shared" si="2"/>
        <v>0</v>
      </c>
      <c r="Q29" s="6">
        <f t="shared" si="3"/>
        <v>0</v>
      </c>
      <c r="R29" s="7">
        <f t="shared" si="8"/>
        <v>0</v>
      </c>
      <c r="S29" s="7">
        <f t="shared" si="9"/>
        <v>0</v>
      </c>
      <c r="T29" s="8">
        <f t="shared" si="10"/>
        <v>0</v>
      </c>
      <c r="W29" s="11">
        <v>0.02</v>
      </c>
      <c r="X29" s="12">
        <v>399.52334198962797</v>
      </c>
      <c r="Y29" s="11"/>
      <c r="Z29" s="12"/>
      <c r="AA29" s="11"/>
      <c r="AB29" s="12"/>
      <c r="AC29" s="11"/>
      <c r="AD29" s="12"/>
      <c r="AE29" s="11"/>
      <c r="AF29" s="12"/>
      <c r="AG29" s="11"/>
      <c r="AH29" s="12"/>
      <c r="AI29" s="11"/>
      <c r="AJ29" s="12"/>
      <c r="AK29" s="11"/>
      <c r="AL29" s="12"/>
    </row>
    <row r="30" spans="2:38">
      <c r="B30" s="1">
        <v>22</v>
      </c>
      <c r="C30" s="4"/>
      <c r="D30" s="4"/>
      <c r="E30" s="4"/>
      <c r="F30" s="10">
        <f t="shared" si="11"/>
        <v>0</v>
      </c>
      <c r="G30" s="5">
        <f t="shared" si="0"/>
        <v>0</v>
      </c>
      <c r="H30" s="5">
        <f t="shared" si="12"/>
        <v>0</v>
      </c>
      <c r="I30" s="5">
        <f t="shared" si="4"/>
        <v>0</v>
      </c>
      <c r="J30" s="6">
        <f t="shared" si="1"/>
        <v>0</v>
      </c>
      <c r="K30" s="5">
        <f t="shared" si="5"/>
        <v>0</v>
      </c>
      <c r="L30" s="7">
        <f t="shared" si="6"/>
        <v>0</v>
      </c>
      <c r="M30" s="8">
        <f t="shared" si="7"/>
        <v>0</v>
      </c>
      <c r="O30" s="3"/>
      <c r="P30" s="5">
        <f t="shared" si="2"/>
        <v>0</v>
      </c>
      <c r="Q30" s="6">
        <f t="shared" si="3"/>
        <v>0</v>
      </c>
      <c r="R30" s="7">
        <f t="shared" si="8"/>
        <v>0</v>
      </c>
      <c r="S30" s="7">
        <f t="shared" si="9"/>
        <v>0</v>
      </c>
      <c r="T30" s="8">
        <f t="shared" si="10"/>
        <v>0</v>
      </c>
      <c r="W30" s="11">
        <v>2.1000000000000001E-2</v>
      </c>
      <c r="X30" s="12">
        <v>399.71964242916596</v>
      </c>
      <c r="Y30" s="11"/>
      <c r="Z30" s="12"/>
      <c r="AA30" s="11"/>
      <c r="AB30" s="12"/>
      <c r="AC30" s="11"/>
      <c r="AD30" s="12"/>
      <c r="AE30" s="11"/>
      <c r="AF30" s="12"/>
      <c r="AG30" s="11"/>
      <c r="AH30" s="12"/>
      <c r="AI30" s="11"/>
      <c r="AJ30" s="12"/>
      <c r="AK30" s="11"/>
      <c r="AL30" s="12"/>
    </row>
    <row r="31" spans="2:38">
      <c r="B31" s="1">
        <v>23</v>
      </c>
      <c r="C31" s="4"/>
      <c r="D31" s="4"/>
      <c r="E31" s="4"/>
      <c r="F31" s="10">
        <f t="shared" si="11"/>
        <v>0</v>
      </c>
      <c r="G31" s="5">
        <f t="shared" si="0"/>
        <v>0</v>
      </c>
      <c r="H31" s="5">
        <f t="shared" si="12"/>
        <v>0</v>
      </c>
      <c r="I31" s="5">
        <f t="shared" si="4"/>
        <v>0</v>
      </c>
      <c r="J31" s="6">
        <f t="shared" si="1"/>
        <v>0</v>
      </c>
      <c r="K31" s="5">
        <f t="shared" si="5"/>
        <v>0</v>
      </c>
      <c r="L31" s="7">
        <f t="shared" si="6"/>
        <v>0</v>
      </c>
      <c r="M31" s="8">
        <f t="shared" si="7"/>
        <v>0</v>
      </c>
      <c r="O31" s="3"/>
      <c r="P31" s="5">
        <f t="shared" si="2"/>
        <v>0</v>
      </c>
      <c r="Q31" s="6">
        <f t="shared" si="3"/>
        <v>0</v>
      </c>
      <c r="R31" s="7">
        <f t="shared" si="8"/>
        <v>0</v>
      </c>
      <c r="S31" s="7">
        <f t="shared" si="9"/>
        <v>0</v>
      </c>
      <c r="T31" s="8">
        <f t="shared" si="10"/>
        <v>0</v>
      </c>
      <c r="W31" s="11"/>
      <c r="X31" s="12"/>
      <c r="Y31" s="11"/>
      <c r="Z31" s="12"/>
      <c r="AA31" s="11"/>
      <c r="AB31" s="12"/>
      <c r="AC31" s="11"/>
      <c r="AD31" s="12"/>
      <c r="AE31" s="11"/>
      <c r="AF31" s="12"/>
      <c r="AG31" s="11"/>
      <c r="AH31" s="12"/>
      <c r="AI31" s="11"/>
      <c r="AJ31" s="12"/>
      <c r="AK31" s="11"/>
      <c r="AL31" s="12"/>
    </row>
    <row r="32" spans="2:38">
      <c r="B32" s="1">
        <v>24</v>
      </c>
      <c r="C32" s="4"/>
      <c r="D32" s="4"/>
      <c r="E32" s="4"/>
      <c r="F32" s="10">
        <f t="shared" si="11"/>
        <v>0</v>
      </c>
      <c r="G32" s="5">
        <f t="shared" si="0"/>
        <v>0</v>
      </c>
      <c r="H32" s="5">
        <f t="shared" si="12"/>
        <v>0</v>
      </c>
      <c r="I32" s="5">
        <f t="shared" si="4"/>
        <v>0</v>
      </c>
      <c r="J32" s="6">
        <f t="shared" si="1"/>
        <v>0</v>
      </c>
      <c r="K32" s="5">
        <f t="shared" si="5"/>
        <v>0</v>
      </c>
      <c r="L32" s="7">
        <f t="shared" si="6"/>
        <v>0</v>
      </c>
      <c r="M32" s="8">
        <f t="shared" si="7"/>
        <v>0</v>
      </c>
      <c r="O32" s="3"/>
      <c r="P32" s="5">
        <f t="shared" si="2"/>
        <v>0</v>
      </c>
      <c r="Q32" s="6">
        <f t="shared" si="3"/>
        <v>0</v>
      </c>
      <c r="R32" s="7">
        <f t="shared" si="8"/>
        <v>0</v>
      </c>
      <c r="S32" s="7">
        <f t="shared" si="9"/>
        <v>0</v>
      </c>
      <c r="T32" s="8">
        <f t="shared" si="10"/>
        <v>0</v>
      </c>
      <c r="W32" s="11"/>
      <c r="X32" s="12"/>
      <c r="Y32" s="11"/>
      <c r="Z32" s="12"/>
      <c r="AA32" s="11"/>
      <c r="AB32" s="12"/>
      <c r="AC32" s="11"/>
      <c r="AD32" s="12"/>
      <c r="AE32" s="11"/>
      <c r="AF32" s="12"/>
      <c r="AG32" s="11"/>
      <c r="AH32" s="12"/>
      <c r="AI32" s="11"/>
      <c r="AJ32" s="12"/>
      <c r="AK32" s="11"/>
      <c r="AL32" s="12"/>
    </row>
    <row r="33" spans="2:38">
      <c r="B33" s="1">
        <v>25</v>
      </c>
      <c r="C33" s="5"/>
      <c r="D33" s="5"/>
      <c r="E33" s="5"/>
      <c r="F33" s="10">
        <f t="shared" si="11"/>
        <v>0</v>
      </c>
      <c r="G33" s="5">
        <f t="shared" si="0"/>
        <v>0</v>
      </c>
      <c r="H33" s="5">
        <f>E33*(C33+D33)/2</f>
        <v>0</v>
      </c>
      <c r="I33" s="5">
        <f>H33*F33</f>
        <v>0</v>
      </c>
      <c r="J33" s="6">
        <f t="shared" si="1"/>
        <v>0</v>
      </c>
      <c r="K33" s="5">
        <f t="shared" si="5"/>
        <v>0</v>
      </c>
      <c r="L33" s="7">
        <f t="shared" si="6"/>
        <v>0</v>
      </c>
      <c r="M33" s="8">
        <f>L33*G33</f>
        <v>0</v>
      </c>
      <c r="P33" s="5">
        <f t="shared" si="2"/>
        <v>0</v>
      </c>
      <c r="Q33" s="6">
        <f t="shared" si="3"/>
        <v>0</v>
      </c>
      <c r="R33" s="7">
        <f t="shared" si="8"/>
        <v>0</v>
      </c>
      <c r="S33" s="7">
        <f t="shared" si="9"/>
        <v>0</v>
      </c>
      <c r="T33" s="8">
        <f t="shared" si="10"/>
        <v>0</v>
      </c>
      <c r="W33" s="11"/>
      <c r="X33" s="12"/>
      <c r="Y33" s="11"/>
      <c r="Z33" s="12"/>
      <c r="AA33" s="11"/>
      <c r="AB33" s="12"/>
      <c r="AC33" s="11"/>
      <c r="AD33" s="12"/>
      <c r="AE33" s="11"/>
      <c r="AF33" s="12"/>
      <c r="AG33" s="11"/>
      <c r="AH33" s="12"/>
      <c r="AI33" s="11"/>
      <c r="AJ33" s="12"/>
      <c r="AK33" s="11"/>
      <c r="AL33" s="12"/>
    </row>
    <row r="34" spans="2:38">
      <c r="B34" s="1">
        <v>26</v>
      </c>
      <c r="C34" s="5"/>
      <c r="D34" s="5"/>
      <c r="E34" s="5"/>
      <c r="F34" s="10">
        <f t="shared" si="11"/>
        <v>0</v>
      </c>
      <c r="G34" s="5">
        <f t="shared" si="0"/>
        <v>0</v>
      </c>
      <c r="H34" s="5">
        <f>E34*(C34+D34)/2</f>
        <v>0</v>
      </c>
      <c r="I34" s="5">
        <f t="shared" ref="I34:I35" si="13">H34*F34</f>
        <v>0</v>
      </c>
      <c r="J34" s="6">
        <f t="shared" si="1"/>
        <v>0</v>
      </c>
      <c r="K34" s="5">
        <f t="shared" si="5"/>
        <v>0</v>
      </c>
      <c r="L34" s="7">
        <f t="shared" si="6"/>
        <v>0</v>
      </c>
      <c r="M34" s="8">
        <f t="shared" ref="M34:M35" si="14">L34*G34</f>
        <v>0</v>
      </c>
      <c r="P34" s="5">
        <f t="shared" si="2"/>
        <v>0</v>
      </c>
      <c r="Q34" s="6">
        <f t="shared" si="3"/>
        <v>0</v>
      </c>
      <c r="R34" s="7">
        <f t="shared" si="8"/>
        <v>0</v>
      </c>
      <c r="S34" s="7">
        <f t="shared" si="9"/>
        <v>0</v>
      </c>
      <c r="T34" s="8">
        <f t="shared" si="10"/>
        <v>0</v>
      </c>
      <c r="W34" s="11"/>
      <c r="X34" s="12"/>
      <c r="Y34" s="11"/>
      <c r="Z34" s="12"/>
      <c r="AA34" s="11"/>
      <c r="AB34" s="12"/>
      <c r="AC34" s="11"/>
      <c r="AD34" s="12"/>
      <c r="AE34" s="11"/>
      <c r="AF34" s="12"/>
      <c r="AG34" s="11"/>
      <c r="AH34" s="12"/>
      <c r="AI34" s="11"/>
      <c r="AJ34" s="12"/>
      <c r="AK34" s="11"/>
      <c r="AL34" s="12"/>
    </row>
    <row r="35" spans="2:38">
      <c r="B35" s="1">
        <v>27</v>
      </c>
      <c r="C35" s="5"/>
      <c r="D35" s="5"/>
      <c r="E35" s="5"/>
      <c r="F35" s="10">
        <f t="shared" si="11"/>
        <v>0</v>
      </c>
      <c r="G35" s="5">
        <f t="shared" si="0"/>
        <v>0</v>
      </c>
      <c r="H35" s="5">
        <f t="shared" ref="H35" si="15">E35*(C35+D35)/2</f>
        <v>0</v>
      </c>
      <c r="I35" s="5">
        <f t="shared" si="13"/>
        <v>0</v>
      </c>
      <c r="J35" s="6">
        <f t="shared" si="1"/>
        <v>0</v>
      </c>
      <c r="K35" s="5">
        <f t="shared" si="5"/>
        <v>0</v>
      </c>
      <c r="L35" s="7">
        <f t="shared" si="6"/>
        <v>0</v>
      </c>
      <c r="M35" s="8">
        <f t="shared" si="14"/>
        <v>0</v>
      </c>
      <c r="P35" s="5">
        <f t="shared" si="2"/>
        <v>0</v>
      </c>
      <c r="Q35" s="6">
        <f t="shared" si="3"/>
        <v>0</v>
      </c>
      <c r="R35" s="7">
        <f t="shared" si="8"/>
        <v>0</v>
      </c>
      <c r="S35" s="7">
        <f t="shared" si="9"/>
        <v>0</v>
      </c>
      <c r="T35" s="8">
        <f t="shared" si="10"/>
        <v>0</v>
      </c>
      <c r="W35" s="11"/>
      <c r="X35" s="12"/>
      <c r="Y35" s="11"/>
      <c r="Z35" s="12"/>
      <c r="AA35" s="11"/>
      <c r="AB35" s="12"/>
      <c r="AC35" s="11"/>
      <c r="AD35" s="12"/>
      <c r="AE35" s="11"/>
      <c r="AF35" s="12"/>
      <c r="AG35" s="11"/>
      <c r="AH35" s="12"/>
      <c r="AI35" s="11"/>
      <c r="AJ35" s="12"/>
      <c r="AK35" s="11"/>
      <c r="AL35" s="12"/>
    </row>
    <row r="36" spans="2:38">
      <c r="B36" s="1">
        <v>28</v>
      </c>
      <c r="C36" s="5"/>
      <c r="D36" s="5"/>
      <c r="E36" s="5"/>
      <c r="F36" s="10">
        <f t="shared" si="11"/>
        <v>0</v>
      </c>
      <c r="G36" s="5">
        <f t="shared" si="0"/>
        <v>0</v>
      </c>
      <c r="H36" s="5">
        <f>E36*(C36+D36)/2</f>
        <v>0</v>
      </c>
      <c r="I36" s="5">
        <f>H36*F36</f>
        <v>0</v>
      </c>
      <c r="J36" s="6">
        <f t="shared" si="1"/>
        <v>0</v>
      </c>
      <c r="K36" s="5">
        <f t="shared" si="5"/>
        <v>0</v>
      </c>
      <c r="L36" s="7">
        <f t="shared" si="6"/>
        <v>0</v>
      </c>
      <c r="M36" s="8">
        <f>L36*G36</f>
        <v>0</v>
      </c>
      <c r="P36" s="5">
        <f t="shared" si="2"/>
        <v>0</v>
      </c>
      <c r="Q36" s="6">
        <f t="shared" si="3"/>
        <v>0</v>
      </c>
      <c r="R36" s="7">
        <f t="shared" si="8"/>
        <v>0</v>
      </c>
      <c r="S36" s="7">
        <f t="shared" si="9"/>
        <v>0</v>
      </c>
      <c r="T36" s="8">
        <f t="shared" si="10"/>
        <v>0</v>
      </c>
      <c r="W36" s="11"/>
      <c r="X36" s="12"/>
      <c r="Y36" s="11"/>
      <c r="Z36" s="12"/>
      <c r="AA36" s="11"/>
      <c r="AB36" s="12"/>
      <c r="AC36" s="11"/>
      <c r="AD36" s="12"/>
      <c r="AE36" s="11"/>
      <c r="AF36" s="12"/>
      <c r="AG36" s="11"/>
      <c r="AH36" s="12"/>
      <c r="AI36" s="11"/>
      <c r="AJ36" s="12"/>
      <c r="AK36" s="11"/>
      <c r="AL36" s="12"/>
    </row>
    <row r="37" spans="2:38">
      <c r="B37" s="1">
        <v>29</v>
      </c>
      <c r="C37" s="5"/>
      <c r="D37" s="5"/>
      <c r="E37" s="5"/>
      <c r="F37" s="10">
        <f>IF((C37+D37)/2=0,0,F36+(E36+E37)/2)</f>
        <v>0</v>
      </c>
      <c r="G37" s="5">
        <f t="shared" si="0"/>
        <v>0</v>
      </c>
      <c r="H37" s="5">
        <f>E37*(C37+D37)/2</f>
        <v>0</v>
      </c>
      <c r="I37" s="5">
        <f t="shared" ref="I37:I38" si="16">H37*F37</f>
        <v>0</v>
      </c>
      <c r="J37" s="6">
        <f t="shared" si="1"/>
        <v>0</v>
      </c>
      <c r="K37" s="5">
        <f t="shared" si="5"/>
        <v>0</v>
      </c>
      <c r="L37" s="7">
        <f t="shared" si="6"/>
        <v>0</v>
      </c>
      <c r="M37" s="8">
        <f t="shared" ref="M37:M38" si="17">L37*G37</f>
        <v>0</v>
      </c>
      <c r="P37" s="5">
        <f t="shared" si="2"/>
        <v>0</v>
      </c>
      <c r="Q37" s="6">
        <f t="shared" si="3"/>
        <v>0</v>
      </c>
      <c r="R37" s="7">
        <f t="shared" si="8"/>
        <v>0</v>
      </c>
      <c r="S37" s="7">
        <f t="shared" si="9"/>
        <v>0</v>
      </c>
      <c r="T37" s="8">
        <f t="shared" si="10"/>
        <v>0</v>
      </c>
      <c r="W37" s="11"/>
      <c r="X37" s="12"/>
      <c r="Y37" s="11"/>
      <c r="Z37" s="12"/>
      <c r="AA37" s="11"/>
      <c r="AB37" s="12"/>
      <c r="AC37" s="11"/>
      <c r="AD37" s="12"/>
      <c r="AE37" s="11"/>
      <c r="AF37" s="12"/>
      <c r="AG37" s="11"/>
      <c r="AH37" s="12"/>
      <c r="AI37" s="11"/>
      <c r="AJ37" s="12"/>
      <c r="AK37" s="11"/>
      <c r="AL37" s="12"/>
    </row>
    <row r="38" spans="2:38">
      <c r="B38" s="1">
        <v>30</v>
      </c>
      <c r="F38" s="10">
        <f t="shared" ref="F38" si="18">IF((C38+D38)/2=0,0,F37+(E37+E38)/2)</f>
        <v>0</v>
      </c>
      <c r="G38" s="5">
        <f t="shared" si="0"/>
        <v>0</v>
      </c>
      <c r="H38" s="5">
        <f t="shared" ref="H38" si="19">E38*(C38+D38)/2</f>
        <v>0</v>
      </c>
      <c r="I38" s="5">
        <f t="shared" si="16"/>
        <v>0</v>
      </c>
      <c r="J38" s="6">
        <f t="shared" si="1"/>
        <v>0</v>
      </c>
      <c r="K38" s="5">
        <f t="shared" si="5"/>
        <v>0</v>
      </c>
      <c r="L38" s="7">
        <f t="shared" si="6"/>
        <v>0</v>
      </c>
      <c r="M38" s="8">
        <f t="shared" si="17"/>
        <v>0</v>
      </c>
      <c r="P38" s="5">
        <f t="shared" si="2"/>
        <v>0</v>
      </c>
      <c r="Q38" s="6">
        <f t="shared" si="3"/>
        <v>0</v>
      </c>
      <c r="R38" s="7">
        <f t="shared" si="8"/>
        <v>0</v>
      </c>
      <c r="S38" s="7">
        <f t="shared" si="9"/>
        <v>0</v>
      </c>
      <c r="T38" s="8">
        <f t="shared" si="10"/>
        <v>0</v>
      </c>
      <c r="W38" s="11"/>
      <c r="X38" s="12"/>
      <c r="Y38" s="11"/>
      <c r="Z38" s="12"/>
      <c r="AA38" s="11"/>
      <c r="AB38" s="12"/>
      <c r="AC38" s="11"/>
      <c r="AD38" s="12"/>
      <c r="AE38" s="11"/>
      <c r="AF38" s="12"/>
      <c r="AG38" s="11"/>
      <c r="AH38" s="12"/>
      <c r="AI38" s="11"/>
      <c r="AJ38" s="12"/>
      <c r="AK38" s="11"/>
      <c r="AL38" s="12"/>
    </row>
    <row r="39" spans="2:38">
      <c r="W39" s="11"/>
      <c r="X39" s="12"/>
      <c r="Y39" s="11"/>
      <c r="Z39" s="12"/>
      <c r="AA39" s="11"/>
      <c r="AB39" s="12"/>
      <c r="AC39" s="11"/>
      <c r="AD39" s="12"/>
      <c r="AE39" s="11"/>
      <c r="AF39" s="12"/>
      <c r="AG39" s="11"/>
      <c r="AH39" s="12"/>
      <c r="AI39" s="11"/>
      <c r="AJ39" s="12"/>
      <c r="AK39" s="11"/>
      <c r="AL39" s="12"/>
    </row>
    <row r="40" spans="2:38">
      <c r="W40" s="11"/>
      <c r="X40" s="12"/>
      <c r="Y40" s="11"/>
      <c r="Z40" s="12"/>
      <c r="AA40" s="11"/>
      <c r="AB40" s="12"/>
      <c r="AC40" s="11"/>
      <c r="AD40" s="12"/>
      <c r="AE40" s="11"/>
      <c r="AF40" s="12"/>
      <c r="AG40" s="11"/>
      <c r="AH40" s="12"/>
      <c r="AI40" s="11"/>
      <c r="AJ40" s="12"/>
      <c r="AK40" s="11"/>
      <c r="AL40" s="12"/>
    </row>
    <row r="41" spans="2:38">
      <c r="C41" s="18">
        <v>1</v>
      </c>
      <c r="D41" s="18">
        <f>IF(INDEX($C$9:$C$38,C41)=0,NA(),-INDEX($C$9:$C$38,C41)/2)</f>
        <v>-0.15</v>
      </c>
      <c r="E41" s="18">
        <f>-D41</f>
        <v>0.15</v>
      </c>
      <c r="F41" s="18">
        <f>INDEX($G$9:$G$38,C41)+INDEX($E$9:$E$38,C41)/2</f>
        <v>0.24999999999999981</v>
      </c>
      <c r="W41" s="11"/>
      <c r="X41" s="12"/>
      <c r="Y41" s="11"/>
      <c r="Z41" s="12"/>
      <c r="AA41" s="11"/>
      <c r="AB41" s="12"/>
      <c r="AC41" s="11"/>
      <c r="AD41" s="12"/>
      <c r="AE41" s="11"/>
      <c r="AF41" s="12"/>
      <c r="AG41" s="11"/>
      <c r="AH41" s="12"/>
      <c r="AI41" s="11"/>
      <c r="AJ41" s="12"/>
      <c r="AK41" s="11"/>
      <c r="AL41" s="12"/>
    </row>
    <row r="42" spans="2:38">
      <c r="C42" s="18">
        <v>1</v>
      </c>
      <c r="D42" s="18">
        <f>IF(INDEX($D$9:$D$38,C41)=0,NA(),-INDEX($D$9:$D$38,C41)/2)</f>
        <v>-0.15</v>
      </c>
      <c r="E42" s="18">
        <f t="shared" ref="E42:E100" si="20">-D42</f>
        <v>0.15</v>
      </c>
      <c r="F42" s="18">
        <f>INDEX($G$9:$G$38,C42)-INDEX($E$9:$E$38,C42)/2</f>
        <v>0.22499999999999978</v>
      </c>
      <c r="W42" s="11"/>
      <c r="X42" s="12"/>
      <c r="Y42" s="11"/>
      <c r="Z42" s="12"/>
      <c r="AA42" s="11"/>
      <c r="AB42" s="12"/>
      <c r="AC42" s="11"/>
      <c r="AD42" s="12"/>
      <c r="AE42" s="11"/>
      <c r="AF42" s="12"/>
      <c r="AG42" s="11"/>
      <c r="AH42" s="12"/>
      <c r="AI42" s="11"/>
      <c r="AJ42" s="12"/>
      <c r="AK42" s="11"/>
      <c r="AL42" s="12"/>
    </row>
    <row r="43" spans="2:38">
      <c r="C43" s="18">
        <f>C41+1</f>
        <v>2</v>
      </c>
      <c r="D43" s="18">
        <f t="shared" ref="D43" si="21">IF(INDEX($C$9:$C$38,C43)=0,NA(),-INDEX($C$9:$C$38,C43)/2)</f>
        <v>-0.15</v>
      </c>
      <c r="E43" s="18">
        <f t="shared" si="20"/>
        <v>0.15</v>
      </c>
      <c r="F43" s="18">
        <f t="shared" ref="F43" si="22">INDEX($G$9:$G$38,C43)+INDEX($E$9:$E$38,C43)/2</f>
        <v>0.22499999999999981</v>
      </c>
      <c r="W43" s="11"/>
      <c r="X43" s="12"/>
      <c r="Y43" s="11"/>
      <c r="Z43" s="12"/>
      <c r="AA43" s="11"/>
      <c r="AB43" s="12"/>
      <c r="AC43" s="11"/>
      <c r="AD43" s="12"/>
      <c r="AE43" s="11"/>
      <c r="AF43" s="12"/>
      <c r="AG43" s="11"/>
      <c r="AH43" s="12"/>
      <c r="AI43" s="11"/>
      <c r="AJ43" s="12"/>
      <c r="AK43" s="11"/>
      <c r="AL43" s="12"/>
    </row>
    <row r="44" spans="2:38">
      <c r="C44" s="18">
        <f>C42+1</f>
        <v>2</v>
      </c>
      <c r="D44" s="18">
        <f t="shared" ref="D44" si="23">IF(INDEX($D$9:$D$38,C43)=0,NA(),-INDEX($D$9:$D$38,C43)/2)</f>
        <v>-0.15</v>
      </c>
      <c r="E44" s="18">
        <f t="shared" si="20"/>
        <v>0.15</v>
      </c>
      <c r="F44" s="18">
        <f t="shared" ref="F44" si="24">INDEX($G$9:$G$38,C44)-INDEX($E$9:$E$38,C44)/2</f>
        <v>0.19999999999999979</v>
      </c>
      <c r="W44" s="11"/>
      <c r="X44" s="12"/>
      <c r="Y44" s="11"/>
      <c r="Z44" s="12"/>
      <c r="AA44" s="11"/>
      <c r="AB44" s="12"/>
      <c r="AC44" s="11"/>
      <c r="AD44" s="12"/>
      <c r="AE44" s="11"/>
      <c r="AF44" s="12"/>
      <c r="AG44" s="11"/>
      <c r="AH44" s="12"/>
      <c r="AI44" s="11"/>
      <c r="AJ44" s="12"/>
      <c r="AK44" s="11"/>
      <c r="AL44" s="12"/>
    </row>
    <row r="45" spans="2:38">
      <c r="C45" s="18">
        <f t="shared" ref="C45:C100" si="25">C43+1</f>
        <v>3</v>
      </c>
      <c r="D45" s="18">
        <f t="shared" ref="D45" si="26">IF(INDEX($C$9:$C$38,C45)=0,NA(),-INDEX($C$9:$C$38,C45)/2)</f>
        <v>-0.15</v>
      </c>
      <c r="E45" s="18">
        <f t="shared" si="20"/>
        <v>0.15</v>
      </c>
      <c r="F45" s="18">
        <f t="shared" ref="F45" si="27">INDEX($G$9:$G$38,C45)+INDEX($E$9:$E$38,C45)/2</f>
        <v>0.19999999999999982</v>
      </c>
      <c r="W45" s="11"/>
      <c r="X45" s="12"/>
      <c r="Y45" s="11"/>
      <c r="Z45" s="12"/>
      <c r="AA45" s="11"/>
      <c r="AB45" s="12"/>
      <c r="AC45" s="11"/>
      <c r="AD45" s="12"/>
      <c r="AE45" s="11"/>
      <c r="AF45" s="12"/>
      <c r="AG45" s="11"/>
      <c r="AH45" s="12"/>
      <c r="AI45" s="11"/>
      <c r="AJ45" s="12"/>
      <c r="AK45" s="11"/>
      <c r="AL45" s="12"/>
    </row>
    <row r="46" spans="2:38">
      <c r="C46" s="18">
        <f t="shared" si="25"/>
        <v>3</v>
      </c>
      <c r="D46" s="18">
        <f t="shared" ref="D46" si="28">IF(INDEX($D$9:$D$38,C45)=0,NA(),-INDEX($D$9:$D$38,C45)/2)</f>
        <v>-0.15</v>
      </c>
      <c r="E46" s="18">
        <f t="shared" si="20"/>
        <v>0.15</v>
      </c>
      <c r="F46" s="18">
        <f t="shared" ref="F46" si="29">INDEX($G$9:$G$38,C46)-INDEX($E$9:$E$38,C46)/2</f>
        <v>0.17499999999999979</v>
      </c>
      <c r="W46" s="11"/>
      <c r="X46" s="12"/>
      <c r="Y46" s="11"/>
      <c r="Z46" s="12"/>
      <c r="AA46" s="11"/>
      <c r="AB46" s="12"/>
      <c r="AC46" s="11"/>
      <c r="AD46" s="12"/>
      <c r="AE46" s="11"/>
      <c r="AF46" s="12"/>
      <c r="AG46" s="11"/>
      <c r="AH46" s="12"/>
      <c r="AI46" s="11"/>
      <c r="AJ46" s="12"/>
      <c r="AK46" s="11"/>
      <c r="AL46" s="12"/>
    </row>
    <row r="47" spans="2:38">
      <c r="C47" s="18">
        <f t="shared" si="25"/>
        <v>4</v>
      </c>
      <c r="D47" s="18">
        <f t="shared" ref="D47" si="30">IF(INDEX($C$9:$C$38,C47)=0,NA(),-INDEX($C$9:$C$38,C47)/2)</f>
        <v>-0.15</v>
      </c>
      <c r="E47" s="18">
        <f t="shared" si="20"/>
        <v>0.15</v>
      </c>
      <c r="F47" s="18">
        <f t="shared" ref="F47" si="31">INDEX($G$9:$G$38,C47)+INDEX($E$9:$E$38,C47)/2</f>
        <v>0.17499999999999982</v>
      </c>
      <c r="W47" s="11"/>
      <c r="X47" s="12"/>
      <c r="Y47" s="11"/>
      <c r="Z47" s="12"/>
      <c r="AA47" s="11"/>
      <c r="AB47" s="12"/>
      <c r="AC47" s="11"/>
      <c r="AD47" s="12"/>
      <c r="AE47" s="11"/>
      <c r="AF47" s="12"/>
      <c r="AG47" s="11"/>
      <c r="AH47" s="12"/>
      <c r="AI47" s="11"/>
      <c r="AJ47" s="12"/>
      <c r="AK47" s="11"/>
      <c r="AL47" s="12"/>
    </row>
    <row r="48" spans="2:38">
      <c r="C48" s="18">
        <f t="shared" si="25"/>
        <v>4</v>
      </c>
      <c r="D48" s="18">
        <f t="shared" ref="D48" si="32">IF(INDEX($D$9:$D$38,C47)=0,NA(),-INDEX($D$9:$D$38,C47)/2)</f>
        <v>-0.15</v>
      </c>
      <c r="E48" s="18">
        <f t="shared" si="20"/>
        <v>0.15</v>
      </c>
      <c r="F48" s="18">
        <f t="shared" ref="F48" si="33">INDEX($G$9:$G$38,C48)-INDEX($E$9:$E$38,C48)/2</f>
        <v>0.1499999999999998</v>
      </c>
      <c r="W48" s="11"/>
      <c r="X48" s="12"/>
      <c r="Y48" s="11"/>
      <c r="Z48" s="12"/>
      <c r="AA48" s="11"/>
      <c r="AB48" s="12"/>
      <c r="AC48" s="11"/>
      <c r="AD48" s="12"/>
      <c r="AE48" s="11"/>
      <c r="AF48" s="12"/>
      <c r="AG48" s="11"/>
      <c r="AH48" s="12"/>
      <c r="AI48" s="11"/>
      <c r="AJ48" s="12"/>
      <c r="AK48" s="11"/>
      <c r="AL48" s="12"/>
    </row>
    <row r="49" spans="3:38">
      <c r="C49" s="18">
        <f t="shared" si="25"/>
        <v>5</v>
      </c>
      <c r="D49" s="18">
        <f t="shared" ref="D49" si="34">IF(INDEX($C$9:$C$38,C49)=0,NA(),-INDEX($C$9:$C$38,C49)/2)</f>
        <v>-0.15</v>
      </c>
      <c r="E49" s="18">
        <f t="shared" si="20"/>
        <v>0.15</v>
      </c>
      <c r="F49" s="18">
        <f t="shared" ref="F49" si="35">INDEX($G$9:$G$38,C49)+INDEX($E$9:$E$38,C49)/2</f>
        <v>0.14999999999999983</v>
      </c>
      <c r="W49" s="11"/>
      <c r="X49" s="12"/>
      <c r="Y49" s="11"/>
      <c r="Z49" s="12"/>
      <c r="AA49" s="11"/>
      <c r="AB49" s="12"/>
      <c r="AC49" s="11"/>
      <c r="AD49" s="12"/>
      <c r="AE49" s="11"/>
      <c r="AF49" s="12"/>
      <c r="AG49" s="11"/>
      <c r="AH49" s="12"/>
      <c r="AI49" s="11"/>
      <c r="AJ49" s="12"/>
      <c r="AK49" s="11"/>
      <c r="AL49" s="12"/>
    </row>
    <row r="50" spans="3:38">
      <c r="C50" s="18">
        <f t="shared" si="25"/>
        <v>5</v>
      </c>
      <c r="D50" s="18">
        <f t="shared" ref="D50" si="36">IF(INDEX($D$9:$D$38,C49)=0,NA(),-INDEX($D$9:$D$38,C49)/2)</f>
        <v>-0.15</v>
      </c>
      <c r="E50" s="18">
        <f t="shared" si="20"/>
        <v>0.15</v>
      </c>
      <c r="F50" s="18">
        <f t="shared" ref="F50" si="37">INDEX($G$9:$G$38,C50)-INDEX($E$9:$E$38,C50)/2</f>
        <v>0.12499999999999982</v>
      </c>
      <c r="W50" s="11"/>
      <c r="X50" s="12"/>
      <c r="Y50" s="11"/>
      <c r="Z50" s="12"/>
      <c r="AA50" s="11"/>
      <c r="AB50" s="12"/>
      <c r="AC50" s="11"/>
      <c r="AD50" s="12"/>
      <c r="AE50" s="11"/>
      <c r="AF50" s="12"/>
      <c r="AG50" s="11"/>
      <c r="AH50" s="12"/>
      <c r="AI50" s="11"/>
      <c r="AJ50" s="12"/>
      <c r="AK50" s="11"/>
      <c r="AL50" s="12"/>
    </row>
    <row r="51" spans="3:38">
      <c r="C51" s="18">
        <f t="shared" si="25"/>
        <v>6</v>
      </c>
      <c r="D51" s="18">
        <f t="shared" ref="D51" si="38">IF(INDEX($C$9:$C$38,C51)=0,NA(),-INDEX($C$9:$C$38,C51)/2)</f>
        <v>-0.15</v>
      </c>
      <c r="E51" s="18">
        <f t="shared" si="20"/>
        <v>0.15</v>
      </c>
      <c r="F51" s="18">
        <f t="shared" ref="F51" si="39">INDEX($G$9:$G$38,C51)+INDEX($E$9:$E$38,C51)/2</f>
        <v>0.12499999999999982</v>
      </c>
      <c r="W51" s="11"/>
      <c r="X51" s="12"/>
      <c r="Y51" s="11"/>
      <c r="Z51" s="12"/>
      <c r="AA51" s="11"/>
      <c r="AB51" s="12"/>
      <c r="AC51" s="11"/>
      <c r="AD51" s="12"/>
      <c r="AE51" s="11"/>
      <c r="AF51" s="12"/>
      <c r="AG51" s="11"/>
      <c r="AH51" s="12"/>
      <c r="AI51" s="11"/>
      <c r="AJ51" s="12"/>
      <c r="AK51" s="11"/>
      <c r="AL51" s="12"/>
    </row>
    <row r="52" spans="3:38">
      <c r="C52" s="18">
        <f t="shared" si="25"/>
        <v>6</v>
      </c>
      <c r="D52" s="18">
        <f t="shared" ref="D52" si="40">IF(INDEX($D$9:$D$38,C51)=0,NA(),-INDEX($D$9:$D$38,C51)/2)</f>
        <v>-0.15</v>
      </c>
      <c r="E52" s="18">
        <f t="shared" si="20"/>
        <v>0.15</v>
      </c>
      <c r="F52" s="18">
        <f t="shared" ref="F52" si="41">INDEX($G$9:$G$38,C52)-INDEX($E$9:$E$38,C52)/2</f>
        <v>9.9999999999999825E-2</v>
      </c>
      <c r="W52" s="11"/>
      <c r="X52" s="12"/>
      <c r="Y52" s="11"/>
      <c r="Z52" s="12"/>
      <c r="AA52" s="11"/>
      <c r="AB52" s="12"/>
      <c r="AC52" s="11"/>
      <c r="AD52" s="12"/>
      <c r="AE52" s="11"/>
      <c r="AF52" s="12"/>
      <c r="AG52" s="11"/>
      <c r="AH52" s="12"/>
      <c r="AI52" s="11"/>
      <c r="AJ52" s="12"/>
      <c r="AK52" s="11"/>
      <c r="AL52" s="12"/>
    </row>
    <row r="53" spans="3:38">
      <c r="C53" s="18">
        <f t="shared" si="25"/>
        <v>7</v>
      </c>
      <c r="D53" s="18">
        <f t="shared" ref="D53" si="42">IF(INDEX($C$9:$C$38,C53)=0,NA(),-INDEX($C$9:$C$38,C53)/2)</f>
        <v>-0.15</v>
      </c>
      <c r="E53" s="18">
        <f t="shared" si="20"/>
        <v>0.15</v>
      </c>
      <c r="F53" s="18">
        <f t="shared" ref="F53" si="43">INDEX($G$9:$G$38,C53)+INDEX($E$9:$E$38,C53)/2</f>
        <v>9.9999999999999825E-2</v>
      </c>
      <c r="W53" s="11"/>
      <c r="X53" s="12"/>
      <c r="Y53" s="11"/>
      <c r="Z53" s="12"/>
      <c r="AA53" s="11"/>
      <c r="AB53" s="12"/>
      <c r="AC53" s="11"/>
      <c r="AD53" s="12"/>
      <c r="AE53" s="11"/>
      <c r="AF53" s="12"/>
      <c r="AG53" s="11"/>
      <c r="AH53" s="12"/>
      <c r="AI53" s="11"/>
      <c r="AJ53" s="12"/>
      <c r="AK53" s="11"/>
      <c r="AL53" s="12"/>
    </row>
    <row r="54" spans="3:38">
      <c r="C54" s="18">
        <f t="shared" si="25"/>
        <v>7</v>
      </c>
      <c r="D54" s="18">
        <f t="shared" ref="D54" si="44">IF(INDEX($D$9:$D$38,C53)=0,NA(),-INDEX($D$9:$D$38,C53)/2)</f>
        <v>-0.15</v>
      </c>
      <c r="E54" s="18">
        <f t="shared" si="20"/>
        <v>0.15</v>
      </c>
      <c r="F54" s="18">
        <f t="shared" ref="F54" si="45">INDEX($G$9:$G$38,C54)-INDEX($E$9:$E$38,C54)/2</f>
        <v>7.4999999999999831E-2</v>
      </c>
      <c r="W54" s="11"/>
      <c r="X54" s="12"/>
      <c r="Y54" s="11"/>
      <c r="Z54" s="12"/>
      <c r="AA54" s="11"/>
      <c r="AB54" s="12"/>
      <c r="AC54" s="11"/>
      <c r="AD54" s="12"/>
      <c r="AE54" s="11"/>
      <c r="AF54" s="12"/>
      <c r="AG54" s="11"/>
      <c r="AH54" s="12"/>
      <c r="AI54" s="11"/>
      <c r="AJ54" s="12"/>
      <c r="AK54" s="11"/>
      <c r="AL54" s="12"/>
    </row>
    <row r="55" spans="3:38">
      <c r="C55" s="18">
        <f t="shared" si="25"/>
        <v>8</v>
      </c>
      <c r="D55" s="18">
        <f t="shared" ref="D55" si="46">IF(INDEX($C$9:$C$38,C55)=0,NA(),-INDEX($C$9:$C$38,C55)/2)</f>
        <v>-0.15</v>
      </c>
      <c r="E55" s="18">
        <f t="shared" si="20"/>
        <v>0.15</v>
      </c>
      <c r="F55" s="18">
        <f t="shared" ref="F55" si="47">INDEX($G$9:$G$38,C55)+INDEX($E$9:$E$38,C55)/2</f>
        <v>7.4999999999999831E-2</v>
      </c>
      <c r="W55" s="11"/>
      <c r="X55" s="12"/>
      <c r="Y55" s="11"/>
      <c r="Z55" s="12"/>
      <c r="AA55" s="11"/>
      <c r="AB55" s="12"/>
      <c r="AC55" s="11"/>
      <c r="AD55" s="12"/>
      <c r="AE55" s="11"/>
      <c r="AF55" s="12"/>
      <c r="AG55" s="11"/>
      <c r="AH55" s="12"/>
      <c r="AI55" s="11"/>
      <c r="AJ55" s="12"/>
      <c r="AK55" s="11"/>
      <c r="AL55" s="12"/>
    </row>
    <row r="56" spans="3:38">
      <c r="C56" s="18">
        <f t="shared" si="25"/>
        <v>8</v>
      </c>
      <c r="D56" s="18">
        <f t="shared" ref="D56" si="48">IF(INDEX($D$9:$D$38,C55)=0,NA(),-INDEX($D$9:$D$38,C55)/2)</f>
        <v>-0.15</v>
      </c>
      <c r="E56" s="18">
        <f t="shared" si="20"/>
        <v>0.15</v>
      </c>
      <c r="F56" s="18">
        <f t="shared" ref="F56" si="49">INDEX($G$9:$G$38,C56)-INDEX($E$9:$E$38,C56)/2</f>
        <v>4.9999999999999836E-2</v>
      </c>
      <c r="W56" s="11"/>
      <c r="X56" s="12"/>
      <c r="Y56" s="11"/>
      <c r="Z56" s="12"/>
      <c r="AA56" s="11"/>
      <c r="AB56" s="12"/>
      <c r="AC56" s="11"/>
      <c r="AD56" s="12"/>
      <c r="AE56" s="11"/>
      <c r="AF56" s="12"/>
      <c r="AG56" s="11"/>
      <c r="AH56" s="12"/>
      <c r="AI56" s="11"/>
      <c r="AJ56" s="12"/>
      <c r="AK56" s="11"/>
      <c r="AL56" s="12"/>
    </row>
    <row r="57" spans="3:38">
      <c r="C57" s="18">
        <f t="shared" si="25"/>
        <v>9</v>
      </c>
      <c r="D57" s="18">
        <f t="shared" ref="D57" si="50">IF(INDEX($C$9:$C$38,C57)=0,NA(),-INDEX($C$9:$C$38,C57)/2)</f>
        <v>-0.15</v>
      </c>
      <c r="E57" s="18">
        <f t="shared" si="20"/>
        <v>0.15</v>
      </c>
      <c r="F57" s="18">
        <f t="shared" ref="F57" si="51">INDEX($G$9:$G$38,C57)+INDEX($E$9:$E$38,C57)/2</f>
        <v>4.9999999999999836E-2</v>
      </c>
      <c r="W57" s="11"/>
      <c r="X57" s="12"/>
      <c r="Y57" s="11"/>
      <c r="Z57" s="12"/>
      <c r="AA57" s="11"/>
      <c r="AB57" s="12"/>
      <c r="AC57" s="11"/>
      <c r="AD57" s="12"/>
      <c r="AE57" s="11"/>
      <c r="AF57" s="12"/>
      <c r="AG57" s="11"/>
      <c r="AH57" s="12"/>
      <c r="AI57" s="11"/>
      <c r="AJ57" s="12"/>
      <c r="AK57" s="11"/>
      <c r="AL57" s="12"/>
    </row>
    <row r="58" spans="3:38">
      <c r="C58" s="18">
        <f t="shared" si="25"/>
        <v>9</v>
      </c>
      <c r="D58" s="18">
        <f t="shared" ref="D58" si="52">IF(INDEX($D$9:$D$38,C57)=0,NA(),-INDEX($D$9:$D$38,C57)/2)</f>
        <v>-0.15</v>
      </c>
      <c r="E58" s="18">
        <f t="shared" si="20"/>
        <v>0.15</v>
      </c>
      <c r="F58" s="18">
        <f t="shared" ref="F58" si="53">INDEX($G$9:$G$38,C58)-INDEX($E$9:$E$38,C58)/2</f>
        <v>2.4999999999999838E-2</v>
      </c>
      <c r="W58" s="11"/>
      <c r="X58" s="12"/>
      <c r="Y58" s="11"/>
      <c r="Z58" s="12"/>
      <c r="AA58" s="11"/>
      <c r="AB58" s="12"/>
      <c r="AC58" s="11"/>
      <c r="AD58" s="12"/>
      <c r="AE58" s="11"/>
      <c r="AF58" s="12"/>
      <c r="AG58" s="11"/>
      <c r="AH58" s="12"/>
      <c r="AI58" s="11"/>
      <c r="AJ58" s="12"/>
      <c r="AK58" s="11"/>
      <c r="AL58" s="12"/>
    </row>
    <row r="59" spans="3:38">
      <c r="C59" s="18">
        <f t="shared" si="25"/>
        <v>10</v>
      </c>
      <c r="D59" s="18">
        <f t="shared" ref="D59" si="54">IF(INDEX($C$9:$C$38,C59)=0,NA(),-INDEX($C$9:$C$38,C59)/2)</f>
        <v>-0.15</v>
      </c>
      <c r="E59" s="18">
        <f t="shared" si="20"/>
        <v>0.15</v>
      </c>
      <c r="F59" s="18">
        <f t="shared" ref="F59" si="55">INDEX($G$9:$G$38,C59)+INDEX($E$9:$E$38,C59)/2</f>
        <v>2.4999999999999845E-2</v>
      </c>
      <c r="W59" s="11"/>
      <c r="X59" s="12"/>
      <c r="Y59" s="11"/>
      <c r="Z59" s="12"/>
      <c r="AA59" s="11"/>
      <c r="AB59" s="12"/>
      <c r="AC59" s="11"/>
      <c r="AD59" s="12"/>
      <c r="AE59" s="11"/>
      <c r="AF59" s="12"/>
      <c r="AG59" s="11"/>
      <c r="AH59" s="12"/>
      <c r="AI59" s="11"/>
      <c r="AJ59" s="12"/>
      <c r="AK59" s="11"/>
      <c r="AL59" s="12"/>
    </row>
    <row r="60" spans="3:38">
      <c r="C60" s="18">
        <f t="shared" si="25"/>
        <v>10</v>
      </c>
      <c r="D60" s="18">
        <f t="shared" ref="D60" si="56">IF(INDEX($D$9:$D$38,C59)=0,NA(),-INDEX($D$9:$D$38,C59)/2)</f>
        <v>-0.15</v>
      </c>
      <c r="E60" s="18">
        <f t="shared" si="20"/>
        <v>0.15</v>
      </c>
      <c r="F60" s="18">
        <f t="shared" ref="F60" si="57">INDEX($G$9:$G$38,C60)-INDEX($E$9:$E$38,C60)/2</f>
        <v>-1.5612511283791264E-16</v>
      </c>
      <c r="W60" s="11"/>
      <c r="X60" s="12"/>
      <c r="Y60" s="11"/>
      <c r="Z60" s="12"/>
      <c r="AA60" s="11"/>
      <c r="AB60" s="12"/>
      <c r="AC60" s="11"/>
      <c r="AD60" s="12"/>
      <c r="AE60" s="11"/>
      <c r="AF60" s="12"/>
      <c r="AG60" s="11"/>
      <c r="AH60" s="12"/>
      <c r="AI60" s="11"/>
      <c r="AJ60" s="12"/>
      <c r="AK60" s="11"/>
      <c r="AL60" s="12"/>
    </row>
    <row r="61" spans="3:38">
      <c r="C61" s="18">
        <f t="shared" si="25"/>
        <v>11</v>
      </c>
      <c r="D61" s="18">
        <f t="shared" ref="D61" si="58">IF(INDEX($C$9:$C$38,C61)=0,NA(),-INDEX($C$9:$C$38,C61)/2)</f>
        <v>-0.15</v>
      </c>
      <c r="E61" s="18">
        <f t="shared" si="20"/>
        <v>0.15</v>
      </c>
      <c r="F61" s="18">
        <f t="shared" ref="F61" si="59">INDEX($G$9:$G$38,C61)+INDEX($E$9:$E$38,C61)/2</f>
        <v>-1.4918621893400541E-16</v>
      </c>
      <c r="W61" s="11"/>
      <c r="X61" s="12"/>
      <c r="Y61" s="11"/>
      <c r="Z61" s="12"/>
      <c r="AA61" s="11"/>
      <c r="AB61" s="12"/>
      <c r="AC61" s="11"/>
      <c r="AD61" s="12"/>
      <c r="AE61" s="11"/>
      <c r="AF61" s="12"/>
      <c r="AG61" s="11"/>
      <c r="AH61" s="12"/>
      <c r="AI61" s="11"/>
      <c r="AJ61" s="12"/>
      <c r="AK61" s="11"/>
      <c r="AL61" s="12"/>
    </row>
    <row r="62" spans="3:38">
      <c r="C62" s="18">
        <f t="shared" si="25"/>
        <v>11</v>
      </c>
      <c r="D62" s="18">
        <f t="shared" ref="D62" si="60">IF(INDEX($D$9:$D$38,C61)=0,NA(),-INDEX($D$9:$D$38,C61)/2)</f>
        <v>-0.15</v>
      </c>
      <c r="E62" s="18">
        <f t="shared" si="20"/>
        <v>0.15</v>
      </c>
      <c r="F62" s="18">
        <f t="shared" ref="F62" si="61">INDEX($G$9:$G$38,C62)-INDEX($E$9:$E$38,C62)/2</f>
        <v>-2.5000000000000151E-2</v>
      </c>
      <c r="W62" s="11"/>
      <c r="X62" s="12"/>
      <c r="Y62" s="11"/>
      <c r="Z62" s="12"/>
      <c r="AA62" s="11"/>
      <c r="AB62" s="12"/>
      <c r="AC62" s="11"/>
      <c r="AD62" s="12"/>
      <c r="AE62" s="11"/>
      <c r="AF62" s="12"/>
      <c r="AG62" s="11"/>
      <c r="AH62" s="12"/>
      <c r="AI62" s="11"/>
      <c r="AJ62" s="12"/>
      <c r="AK62" s="11"/>
      <c r="AL62" s="12"/>
    </row>
    <row r="63" spans="3:38">
      <c r="C63" s="18">
        <f t="shared" si="25"/>
        <v>12</v>
      </c>
      <c r="D63" s="18">
        <f t="shared" ref="D63" si="62">IF(INDEX($C$9:$C$38,C63)=0,NA(),-INDEX($C$9:$C$38,C63)/2)</f>
        <v>-0.15</v>
      </c>
      <c r="E63" s="18">
        <f t="shared" si="20"/>
        <v>0.15</v>
      </c>
      <c r="F63" s="18">
        <f t="shared" ref="F63" si="63">INDEX($G$9:$G$38,C63)+INDEX($E$9:$E$38,C63)/2</f>
        <v>-2.5000000000000171E-2</v>
      </c>
      <c r="W63" s="11"/>
      <c r="X63" s="12"/>
      <c r="Y63" s="11"/>
      <c r="Z63" s="12"/>
      <c r="AA63" s="11"/>
      <c r="AB63" s="12"/>
      <c r="AC63" s="11"/>
      <c r="AD63" s="12"/>
      <c r="AE63" s="11"/>
      <c r="AF63" s="12"/>
      <c r="AG63" s="11"/>
      <c r="AH63" s="12"/>
      <c r="AI63" s="11"/>
      <c r="AJ63" s="12"/>
      <c r="AK63" s="11"/>
      <c r="AL63" s="12"/>
    </row>
    <row r="64" spans="3:38">
      <c r="C64" s="18">
        <f t="shared" si="25"/>
        <v>12</v>
      </c>
      <c r="D64" s="18">
        <f t="shared" ref="D64" si="64">IF(INDEX($D$9:$D$38,C63)=0,NA(),-INDEX($D$9:$D$38,C63)/2)</f>
        <v>-0.15</v>
      </c>
      <c r="E64" s="18">
        <f t="shared" si="20"/>
        <v>0.15</v>
      </c>
      <c r="F64" s="18">
        <f t="shared" ref="F64" si="65">INDEX($G$9:$G$38,C64)-INDEX($E$9:$E$38,C64)/2</f>
        <v>-5.0000000000000169E-2</v>
      </c>
      <c r="W64" s="11"/>
      <c r="X64" s="12"/>
      <c r="Y64" s="11"/>
      <c r="Z64" s="12"/>
      <c r="AA64" s="11"/>
      <c r="AB64" s="12"/>
      <c r="AC64" s="11"/>
      <c r="AD64" s="12"/>
      <c r="AE64" s="11"/>
      <c r="AF64" s="12"/>
      <c r="AG64" s="11"/>
      <c r="AH64" s="12"/>
      <c r="AI64" s="11"/>
      <c r="AJ64" s="12"/>
      <c r="AK64" s="11"/>
      <c r="AL64" s="12"/>
    </row>
    <row r="65" spans="3:38">
      <c r="C65" s="18">
        <f t="shared" si="25"/>
        <v>13</v>
      </c>
      <c r="D65" s="18">
        <f t="shared" ref="D65" si="66">IF(INDEX($C$9:$C$38,C65)=0,NA(),-INDEX($C$9:$C$38,C65)/2)</f>
        <v>-0.15</v>
      </c>
      <c r="E65" s="18">
        <f t="shared" si="20"/>
        <v>0.15</v>
      </c>
      <c r="F65" s="18">
        <f t="shared" ref="F65" si="67">INDEX($G$9:$G$38,C65)+INDEX($E$9:$E$38,C65)/2</f>
        <v>-5.0000000000000197E-2</v>
      </c>
      <c r="W65" s="11"/>
      <c r="X65" s="12"/>
      <c r="Y65" s="11"/>
      <c r="Z65" s="12"/>
      <c r="AA65" s="11"/>
      <c r="AB65" s="12"/>
      <c r="AC65" s="11"/>
      <c r="AD65" s="12"/>
      <c r="AE65" s="11"/>
      <c r="AF65" s="12"/>
      <c r="AG65" s="11"/>
      <c r="AH65" s="12"/>
      <c r="AI65" s="11"/>
      <c r="AJ65" s="12"/>
      <c r="AK65" s="11"/>
      <c r="AL65" s="12"/>
    </row>
    <row r="66" spans="3:38">
      <c r="C66" s="18">
        <f t="shared" si="25"/>
        <v>13</v>
      </c>
      <c r="D66" s="18">
        <f t="shared" ref="D66" si="68">IF(INDEX($D$9:$D$38,C65)=0,NA(),-INDEX($D$9:$D$38,C65)/2)</f>
        <v>-0.15</v>
      </c>
      <c r="E66" s="18">
        <f t="shared" si="20"/>
        <v>0.15</v>
      </c>
      <c r="F66" s="18">
        <f t="shared" ref="F66" si="69">INDEX($G$9:$G$38,C66)-INDEX($E$9:$E$38,C66)/2</f>
        <v>-7.5000000000000192E-2</v>
      </c>
      <c r="W66" s="11"/>
      <c r="X66" s="12"/>
      <c r="Y66" s="11"/>
      <c r="Z66" s="12"/>
      <c r="AA66" s="11"/>
      <c r="AB66" s="12"/>
      <c r="AC66" s="11"/>
      <c r="AD66" s="12"/>
      <c r="AE66" s="11"/>
      <c r="AF66" s="12"/>
      <c r="AG66" s="11"/>
      <c r="AH66" s="12"/>
      <c r="AI66" s="11"/>
      <c r="AJ66" s="12"/>
      <c r="AK66" s="11"/>
      <c r="AL66" s="12"/>
    </row>
    <row r="67" spans="3:38">
      <c r="C67" s="18">
        <f t="shared" si="25"/>
        <v>14</v>
      </c>
      <c r="D67" s="18">
        <f t="shared" ref="D67" si="70">IF(INDEX($C$9:$C$38,C67)=0,NA(),-INDEX($C$9:$C$38,C67)/2)</f>
        <v>-0.15</v>
      </c>
      <c r="E67" s="18">
        <f t="shared" si="20"/>
        <v>0.15</v>
      </c>
      <c r="F67" s="18">
        <f t="shared" ref="F67" si="71">INDEX($G$9:$G$38,C67)+INDEX($E$9:$E$38,C67)/2</f>
        <v>-7.5000000000000219E-2</v>
      </c>
      <c r="W67" s="11"/>
      <c r="X67" s="12"/>
      <c r="Y67" s="11"/>
      <c r="Z67" s="12"/>
      <c r="AA67" s="11"/>
      <c r="AB67" s="12"/>
      <c r="AC67" s="11"/>
      <c r="AD67" s="12"/>
      <c r="AE67" s="11"/>
      <c r="AF67" s="12"/>
      <c r="AG67" s="11"/>
      <c r="AH67" s="12"/>
      <c r="AI67" s="11"/>
      <c r="AJ67" s="12"/>
      <c r="AK67" s="11"/>
      <c r="AL67" s="12"/>
    </row>
    <row r="68" spans="3:38">
      <c r="C68" s="18">
        <f t="shared" si="25"/>
        <v>14</v>
      </c>
      <c r="D68" s="18">
        <f t="shared" ref="D68" si="72">IF(INDEX($D$9:$D$38,C67)=0,NA(),-INDEX($D$9:$D$38,C67)/2)</f>
        <v>-0.15</v>
      </c>
      <c r="E68" s="18">
        <f t="shared" si="20"/>
        <v>0.15</v>
      </c>
      <c r="F68" s="18">
        <f t="shared" ref="F68" si="73">INDEX($G$9:$G$38,C68)-INDEX($E$9:$E$38,C68)/2</f>
        <v>-0.10000000000000021</v>
      </c>
      <c r="W68" s="11"/>
      <c r="X68" s="12"/>
      <c r="Y68" s="11"/>
      <c r="Z68" s="12"/>
      <c r="AA68" s="11"/>
      <c r="AB68" s="12"/>
      <c r="AC68" s="11"/>
      <c r="AD68" s="12"/>
      <c r="AE68" s="11"/>
      <c r="AF68" s="12"/>
      <c r="AG68" s="11"/>
      <c r="AH68" s="12"/>
      <c r="AI68" s="11"/>
      <c r="AJ68" s="12"/>
      <c r="AK68" s="11"/>
      <c r="AL68" s="12"/>
    </row>
    <row r="69" spans="3:38">
      <c r="C69" s="18">
        <f t="shared" si="25"/>
        <v>15</v>
      </c>
      <c r="D69" s="18">
        <f t="shared" ref="D69" si="74">IF(INDEX($C$9:$C$38,C69)=0,NA(),-INDEX($C$9:$C$38,C69)/2)</f>
        <v>-0.15</v>
      </c>
      <c r="E69" s="18">
        <f t="shared" si="20"/>
        <v>0.15</v>
      </c>
      <c r="F69" s="18">
        <f t="shared" ref="F69" si="75">INDEX($G$9:$G$38,C69)+INDEX($E$9:$E$38,C69)/2</f>
        <v>-0.10000000000000024</v>
      </c>
      <c r="W69" s="11"/>
      <c r="X69" s="12"/>
      <c r="Y69" s="11"/>
      <c r="Z69" s="12"/>
      <c r="AA69" s="11"/>
      <c r="AB69" s="12"/>
      <c r="AC69" s="11"/>
      <c r="AD69" s="12"/>
      <c r="AE69" s="11"/>
      <c r="AF69" s="12"/>
      <c r="AG69" s="11"/>
      <c r="AH69" s="12"/>
      <c r="AI69" s="11"/>
      <c r="AJ69" s="12"/>
      <c r="AK69" s="11"/>
      <c r="AL69" s="12"/>
    </row>
    <row r="70" spans="3:38">
      <c r="C70" s="18">
        <f t="shared" si="25"/>
        <v>15</v>
      </c>
      <c r="D70" s="18">
        <f t="shared" ref="D70" si="76">IF(INDEX($D$9:$D$38,C69)=0,NA(),-INDEX($D$9:$D$38,C69)/2)</f>
        <v>-0.15</v>
      </c>
      <c r="E70" s="18">
        <f t="shared" si="20"/>
        <v>0.15</v>
      </c>
      <c r="F70" s="18">
        <f t="shared" ref="F70" si="77">INDEX($G$9:$G$38,C70)-INDEX($E$9:$E$38,C70)/2</f>
        <v>-0.12500000000000025</v>
      </c>
      <c r="W70" s="11"/>
      <c r="X70" s="12"/>
      <c r="Y70" s="11"/>
      <c r="Z70" s="12"/>
      <c r="AA70" s="11"/>
      <c r="AB70" s="12"/>
      <c r="AC70" s="11"/>
      <c r="AD70" s="12"/>
      <c r="AE70" s="11"/>
      <c r="AF70" s="12"/>
      <c r="AG70" s="11"/>
      <c r="AH70" s="12"/>
      <c r="AI70" s="11"/>
      <c r="AJ70" s="12"/>
      <c r="AK70" s="11"/>
      <c r="AL70" s="12"/>
    </row>
    <row r="71" spans="3:38">
      <c r="C71" s="18">
        <f t="shared" si="25"/>
        <v>16</v>
      </c>
      <c r="D71" s="18">
        <f t="shared" ref="D71" si="78">IF(INDEX($C$9:$C$38,C71)=0,NA(),-INDEX($C$9:$C$38,C71)/2)</f>
        <v>-0.15</v>
      </c>
      <c r="E71" s="18">
        <f t="shared" si="20"/>
        <v>0.15</v>
      </c>
      <c r="F71" s="18">
        <f t="shared" ref="F71" si="79">INDEX($G$9:$G$38,C71)+INDEX($E$9:$E$38,C71)/2</f>
        <v>-0.12500000000000025</v>
      </c>
      <c r="W71" s="11"/>
      <c r="X71" s="12"/>
      <c r="Y71" s="11"/>
      <c r="Z71" s="12"/>
      <c r="AA71" s="11"/>
      <c r="AB71" s="12"/>
      <c r="AC71" s="11"/>
      <c r="AD71" s="12"/>
      <c r="AE71" s="11"/>
      <c r="AF71" s="12"/>
      <c r="AG71" s="11"/>
      <c r="AH71" s="12"/>
      <c r="AI71" s="11"/>
      <c r="AJ71" s="12"/>
      <c r="AK71" s="11"/>
      <c r="AL71" s="12"/>
    </row>
    <row r="72" spans="3:38">
      <c r="C72" s="18">
        <f t="shared" si="25"/>
        <v>16</v>
      </c>
      <c r="D72" s="18">
        <f t="shared" ref="D72" si="80">IF(INDEX($D$9:$D$38,C71)=0,NA(),-INDEX($D$9:$D$38,C71)/2)</f>
        <v>-0.15</v>
      </c>
      <c r="E72" s="18">
        <f t="shared" si="20"/>
        <v>0.15</v>
      </c>
      <c r="F72" s="18">
        <f t="shared" ref="F72" si="81">INDEX($G$9:$G$38,C72)-INDEX($E$9:$E$38,C72)/2</f>
        <v>-0.15000000000000027</v>
      </c>
      <c r="W72" s="11"/>
      <c r="X72" s="12"/>
      <c r="Y72" s="11"/>
      <c r="Z72" s="12"/>
      <c r="AA72" s="11"/>
      <c r="AB72" s="12"/>
      <c r="AC72" s="11"/>
      <c r="AD72" s="12"/>
      <c r="AE72" s="11"/>
      <c r="AF72" s="12"/>
      <c r="AG72" s="11"/>
      <c r="AH72" s="12"/>
      <c r="AI72" s="11"/>
      <c r="AJ72" s="12"/>
      <c r="AK72" s="11"/>
      <c r="AL72" s="12"/>
    </row>
    <row r="73" spans="3:38">
      <c r="C73" s="18">
        <f t="shared" si="25"/>
        <v>17</v>
      </c>
      <c r="D73" s="18">
        <f t="shared" ref="D73" si="82">IF(INDEX($C$9:$C$38,C73)=0,NA(),-INDEX($C$9:$C$38,C73)/2)</f>
        <v>-0.15</v>
      </c>
      <c r="E73" s="18">
        <f t="shared" si="20"/>
        <v>0.15</v>
      </c>
      <c r="F73" s="18">
        <f t="shared" ref="F73" si="83">INDEX($G$9:$G$38,C73)+INDEX($E$9:$E$38,C73)/2</f>
        <v>-0.15000000000000027</v>
      </c>
      <c r="W73" s="11"/>
      <c r="X73" s="12"/>
      <c r="Y73" s="11"/>
      <c r="Z73" s="12"/>
      <c r="AA73" s="11"/>
      <c r="AB73" s="12"/>
      <c r="AC73" s="11"/>
      <c r="AD73" s="12"/>
      <c r="AE73" s="11"/>
      <c r="AF73" s="12"/>
      <c r="AG73" s="11"/>
      <c r="AH73" s="12"/>
      <c r="AI73" s="11"/>
      <c r="AJ73" s="12"/>
      <c r="AK73" s="11"/>
      <c r="AL73" s="12"/>
    </row>
    <row r="74" spans="3:38">
      <c r="C74" s="18">
        <f t="shared" si="25"/>
        <v>17</v>
      </c>
      <c r="D74" s="18">
        <f t="shared" ref="D74" si="84">IF(INDEX($D$9:$D$38,C73)=0,NA(),-INDEX($D$9:$D$38,C73)/2)</f>
        <v>-0.15</v>
      </c>
      <c r="E74" s="18">
        <f t="shared" si="20"/>
        <v>0.15</v>
      </c>
      <c r="F74" s="18">
        <f t="shared" ref="F74" si="85">INDEX($G$9:$G$38,C74)-INDEX($E$9:$E$38,C74)/2</f>
        <v>-0.17500000000000029</v>
      </c>
      <c r="W74" s="11"/>
      <c r="X74" s="12"/>
      <c r="Y74" s="11"/>
      <c r="Z74" s="12"/>
      <c r="AA74" s="11"/>
      <c r="AB74" s="12"/>
      <c r="AC74" s="11"/>
      <c r="AD74" s="12"/>
      <c r="AE74" s="11"/>
      <c r="AF74" s="12"/>
      <c r="AG74" s="11"/>
      <c r="AH74" s="12"/>
      <c r="AI74" s="11"/>
      <c r="AJ74" s="12"/>
      <c r="AK74" s="11"/>
      <c r="AL74" s="12"/>
    </row>
    <row r="75" spans="3:38">
      <c r="C75" s="18">
        <f t="shared" si="25"/>
        <v>18</v>
      </c>
      <c r="D75" s="18">
        <f t="shared" ref="D75" si="86">IF(INDEX($C$9:$C$38,C75)=0,NA(),-INDEX($C$9:$C$38,C75)/2)</f>
        <v>-0.15</v>
      </c>
      <c r="E75" s="18">
        <f t="shared" si="20"/>
        <v>0.15</v>
      </c>
      <c r="F75" s="18">
        <f t="shared" ref="F75" si="87">INDEX($G$9:$G$38,C75)+INDEX($E$9:$E$38,C75)/2</f>
        <v>-0.17500000000000029</v>
      </c>
      <c r="W75" s="11"/>
      <c r="X75" s="12"/>
      <c r="Y75" s="11"/>
      <c r="Z75" s="12"/>
      <c r="AA75" s="11"/>
      <c r="AB75" s="12"/>
      <c r="AC75" s="11"/>
      <c r="AD75" s="12"/>
      <c r="AE75" s="11"/>
      <c r="AF75" s="12"/>
      <c r="AG75" s="11"/>
      <c r="AH75" s="12"/>
      <c r="AI75" s="11"/>
      <c r="AJ75" s="12"/>
      <c r="AK75" s="11"/>
      <c r="AL75" s="12"/>
    </row>
    <row r="76" spans="3:38">
      <c r="C76" s="18">
        <f t="shared" si="25"/>
        <v>18</v>
      </c>
      <c r="D76" s="18">
        <f t="shared" ref="D76" si="88">IF(INDEX($D$9:$D$38,C75)=0,NA(),-INDEX($D$9:$D$38,C75)/2)</f>
        <v>-0.15</v>
      </c>
      <c r="E76" s="18">
        <f t="shared" si="20"/>
        <v>0.15</v>
      </c>
      <c r="F76" s="18">
        <f t="shared" ref="F76" si="89">INDEX($G$9:$G$38,C76)-INDEX($E$9:$E$38,C76)/2</f>
        <v>-0.20000000000000032</v>
      </c>
      <c r="W76" s="11"/>
      <c r="X76" s="12"/>
      <c r="Y76" s="11"/>
      <c r="Z76" s="12"/>
      <c r="AA76" s="11"/>
      <c r="AB76" s="12"/>
      <c r="AC76" s="11"/>
      <c r="AD76" s="12"/>
      <c r="AE76" s="11"/>
      <c r="AF76" s="12"/>
      <c r="AG76" s="11"/>
      <c r="AH76" s="12"/>
      <c r="AI76" s="11"/>
      <c r="AJ76" s="12"/>
      <c r="AK76" s="11"/>
      <c r="AL76" s="12"/>
    </row>
    <row r="77" spans="3:38">
      <c r="C77" s="18">
        <f t="shared" si="25"/>
        <v>19</v>
      </c>
      <c r="D77" s="18">
        <f t="shared" ref="D77" si="90">IF(INDEX($C$9:$C$38,C77)=0,NA(),-INDEX($C$9:$C$38,C77)/2)</f>
        <v>-0.15</v>
      </c>
      <c r="E77" s="18">
        <f t="shared" si="20"/>
        <v>0.15</v>
      </c>
      <c r="F77" s="18">
        <f t="shared" ref="F77" si="91">INDEX($G$9:$G$38,C77)+INDEX($E$9:$E$38,C77)/2</f>
        <v>-0.20000000000000032</v>
      </c>
      <c r="W77" s="11"/>
      <c r="X77" s="12"/>
      <c r="Y77" s="11"/>
      <c r="Z77" s="12"/>
      <c r="AA77" s="11"/>
      <c r="AB77" s="12"/>
      <c r="AC77" s="11"/>
      <c r="AD77" s="12"/>
      <c r="AE77" s="11"/>
      <c r="AF77" s="12"/>
      <c r="AG77" s="11"/>
      <c r="AH77" s="12"/>
      <c r="AI77" s="11"/>
      <c r="AJ77" s="12"/>
      <c r="AK77" s="11"/>
      <c r="AL77" s="12"/>
    </row>
    <row r="78" spans="3:38">
      <c r="C78" s="18">
        <f t="shared" si="25"/>
        <v>19</v>
      </c>
      <c r="D78" s="18">
        <f t="shared" ref="D78" si="92">IF(INDEX($D$9:$D$38,C77)=0,NA(),-INDEX($D$9:$D$38,C77)/2)</f>
        <v>-0.15</v>
      </c>
      <c r="E78" s="18">
        <f t="shared" si="20"/>
        <v>0.15</v>
      </c>
      <c r="F78" s="18">
        <f t="shared" ref="F78" si="93">INDEX($G$9:$G$38,C78)-INDEX($E$9:$E$38,C78)/2</f>
        <v>-0.22500000000000034</v>
      </c>
      <c r="W78" s="11"/>
      <c r="X78" s="12"/>
      <c r="Y78" s="11"/>
      <c r="Z78" s="12"/>
      <c r="AA78" s="11"/>
      <c r="AB78" s="12"/>
      <c r="AC78" s="11"/>
      <c r="AD78" s="12"/>
      <c r="AE78" s="11"/>
      <c r="AF78" s="12"/>
      <c r="AG78" s="11"/>
      <c r="AH78" s="12"/>
      <c r="AI78" s="11"/>
      <c r="AJ78" s="12"/>
      <c r="AK78" s="11"/>
      <c r="AL78" s="12"/>
    </row>
    <row r="79" spans="3:38">
      <c r="C79" s="18">
        <f t="shared" si="25"/>
        <v>20</v>
      </c>
      <c r="D79" s="18">
        <f t="shared" ref="D79" si="94">IF(INDEX($C$9:$C$38,C79)=0,NA(),-INDEX($C$9:$C$38,C79)/2)</f>
        <v>-0.15</v>
      </c>
      <c r="E79" s="18">
        <f t="shared" si="20"/>
        <v>0.15</v>
      </c>
      <c r="F79" s="18">
        <f t="shared" ref="F79" si="95">INDEX($G$9:$G$38,C79)+INDEX($E$9:$E$38,C79)/2</f>
        <v>-0.22500000000000034</v>
      </c>
      <c r="W79" s="11"/>
      <c r="X79" s="12"/>
      <c r="Y79" s="11"/>
      <c r="Z79" s="12"/>
      <c r="AA79" s="11"/>
      <c r="AB79" s="12"/>
      <c r="AC79" s="11"/>
      <c r="AD79" s="12"/>
      <c r="AE79" s="11"/>
      <c r="AF79" s="12"/>
      <c r="AG79" s="11"/>
      <c r="AH79" s="12"/>
      <c r="AI79" s="11"/>
      <c r="AJ79" s="12"/>
      <c r="AK79" s="11"/>
      <c r="AL79" s="12"/>
    </row>
    <row r="80" spans="3:38">
      <c r="C80" s="18">
        <f t="shared" si="25"/>
        <v>20</v>
      </c>
      <c r="D80" s="18">
        <f t="shared" ref="D80" si="96">IF(INDEX($D$9:$D$38,C79)=0,NA(),-INDEX($D$9:$D$38,C79)/2)</f>
        <v>-0.15</v>
      </c>
      <c r="E80" s="18">
        <f t="shared" si="20"/>
        <v>0.15</v>
      </c>
      <c r="F80" s="18">
        <f t="shared" ref="F80" si="97">INDEX($G$9:$G$38,C80)-INDEX($E$9:$E$38,C80)/2</f>
        <v>-0.25000000000000033</v>
      </c>
      <c r="W80" s="11"/>
      <c r="X80" s="12"/>
      <c r="Y80" s="11"/>
      <c r="Z80" s="12"/>
      <c r="AA80" s="11"/>
      <c r="AB80" s="12"/>
      <c r="AC80" s="11"/>
      <c r="AD80" s="12"/>
      <c r="AE80" s="11"/>
      <c r="AF80" s="12"/>
      <c r="AG80" s="11"/>
      <c r="AH80" s="12"/>
      <c r="AI80" s="11"/>
      <c r="AJ80" s="12"/>
      <c r="AK80" s="11"/>
      <c r="AL80" s="12"/>
    </row>
    <row r="81" spans="3:38">
      <c r="C81" s="18">
        <f t="shared" si="25"/>
        <v>21</v>
      </c>
      <c r="D81" s="18" t="e">
        <f t="shared" ref="D81" si="98">IF(INDEX($C$9:$C$38,C81)=0,NA(),-INDEX($C$9:$C$38,C81)/2)</f>
        <v>#N/A</v>
      </c>
      <c r="E81" s="18" t="e">
        <f t="shared" si="20"/>
        <v>#N/A</v>
      </c>
      <c r="F81" s="18">
        <f t="shared" ref="F81" si="99">INDEX($G$9:$G$38,C81)+INDEX($E$9:$E$38,C81)/2</f>
        <v>0</v>
      </c>
      <c r="W81" s="11"/>
      <c r="X81" s="12"/>
      <c r="Y81" s="11"/>
      <c r="Z81" s="12"/>
      <c r="AA81" s="11"/>
      <c r="AB81" s="12"/>
      <c r="AC81" s="11"/>
      <c r="AD81" s="12"/>
      <c r="AE81" s="11"/>
      <c r="AF81" s="12"/>
      <c r="AG81" s="11"/>
      <c r="AH81" s="12"/>
      <c r="AI81" s="11"/>
      <c r="AJ81" s="12"/>
      <c r="AK81" s="11"/>
      <c r="AL81" s="12"/>
    </row>
    <row r="82" spans="3:38">
      <c r="C82" s="18">
        <f t="shared" si="25"/>
        <v>21</v>
      </c>
      <c r="D82" s="18" t="e">
        <f t="shared" ref="D82" si="100">IF(INDEX($D$9:$D$38,C81)=0,NA(),-INDEX($D$9:$D$38,C81)/2)</f>
        <v>#N/A</v>
      </c>
      <c r="E82" s="18" t="e">
        <f t="shared" si="20"/>
        <v>#N/A</v>
      </c>
      <c r="F82" s="18">
        <f t="shared" ref="F82" si="101">INDEX($G$9:$G$38,C82)-INDEX($E$9:$E$38,C82)/2</f>
        <v>0</v>
      </c>
      <c r="W82" s="11"/>
      <c r="X82" s="12"/>
      <c r="Y82" s="11"/>
      <c r="Z82" s="12"/>
      <c r="AA82" s="11"/>
      <c r="AB82" s="12"/>
      <c r="AC82" s="11"/>
      <c r="AD82" s="12"/>
      <c r="AE82" s="11"/>
      <c r="AF82" s="12"/>
      <c r="AG82" s="11"/>
      <c r="AH82" s="12"/>
      <c r="AI82" s="11"/>
      <c r="AJ82" s="12"/>
      <c r="AK82" s="11"/>
      <c r="AL82" s="12"/>
    </row>
    <row r="83" spans="3:38">
      <c r="C83" s="18">
        <f t="shared" si="25"/>
        <v>22</v>
      </c>
      <c r="D83" s="18" t="e">
        <f t="shared" ref="D83" si="102">IF(INDEX($C$9:$C$38,C83)=0,NA(),-INDEX($C$9:$C$38,C83)/2)</f>
        <v>#N/A</v>
      </c>
      <c r="E83" s="18" t="e">
        <f t="shared" si="20"/>
        <v>#N/A</v>
      </c>
      <c r="F83" s="18">
        <f t="shared" ref="F83" si="103">INDEX($G$9:$G$38,C83)+INDEX($E$9:$E$38,C83)/2</f>
        <v>0</v>
      </c>
      <c r="W83" s="11"/>
      <c r="X83" s="12"/>
      <c r="Y83" s="11"/>
      <c r="Z83" s="12"/>
      <c r="AA83" s="11"/>
      <c r="AB83" s="12"/>
      <c r="AC83" s="11"/>
      <c r="AD83" s="12"/>
      <c r="AE83" s="11"/>
      <c r="AF83" s="12"/>
      <c r="AG83" s="11"/>
      <c r="AH83" s="12"/>
      <c r="AI83" s="11"/>
      <c r="AJ83" s="12"/>
      <c r="AK83" s="11"/>
      <c r="AL83" s="12"/>
    </row>
    <row r="84" spans="3:38">
      <c r="C84" s="18">
        <f t="shared" si="25"/>
        <v>22</v>
      </c>
      <c r="D84" s="18" t="e">
        <f t="shared" ref="D84" si="104">IF(INDEX($D$9:$D$38,C83)=0,NA(),-INDEX($D$9:$D$38,C83)/2)</f>
        <v>#N/A</v>
      </c>
      <c r="E84" s="18" t="e">
        <f t="shared" si="20"/>
        <v>#N/A</v>
      </c>
      <c r="F84" s="18">
        <f t="shared" ref="F84" si="105">INDEX($G$9:$G$38,C84)-INDEX($E$9:$E$38,C84)/2</f>
        <v>0</v>
      </c>
      <c r="W84" s="11"/>
      <c r="X84" s="12"/>
      <c r="Y84" s="11"/>
      <c r="Z84" s="12"/>
      <c r="AA84" s="11"/>
      <c r="AB84" s="12"/>
      <c r="AC84" s="11"/>
      <c r="AD84" s="12"/>
      <c r="AE84" s="11"/>
      <c r="AF84" s="12"/>
      <c r="AG84" s="11"/>
      <c r="AH84" s="12"/>
      <c r="AI84" s="11"/>
      <c r="AJ84" s="12"/>
      <c r="AK84" s="11"/>
      <c r="AL84" s="12"/>
    </row>
    <row r="85" spans="3:38">
      <c r="C85" s="18">
        <f t="shared" si="25"/>
        <v>23</v>
      </c>
      <c r="D85" s="18" t="e">
        <f t="shared" ref="D85" si="106">IF(INDEX($C$9:$C$38,C85)=0,NA(),-INDEX($C$9:$C$38,C85)/2)</f>
        <v>#N/A</v>
      </c>
      <c r="E85" s="18" t="e">
        <f t="shared" si="20"/>
        <v>#N/A</v>
      </c>
      <c r="F85" s="18">
        <f t="shared" ref="F85" si="107">INDEX($G$9:$G$38,C85)+INDEX($E$9:$E$38,C85)/2</f>
        <v>0</v>
      </c>
      <c r="W85" s="11"/>
      <c r="X85" s="12"/>
      <c r="Y85" s="11"/>
      <c r="Z85" s="12"/>
      <c r="AA85" s="11"/>
      <c r="AB85" s="12"/>
      <c r="AC85" s="11"/>
      <c r="AD85" s="12"/>
      <c r="AE85" s="11"/>
      <c r="AF85" s="12"/>
      <c r="AG85" s="11"/>
      <c r="AH85" s="12"/>
      <c r="AI85" s="11"/>
      <c r="AJ85" s="12"/>
      <c r="AK85" s="11"/>
      <c r="AL85" s="12"/>
    </row>
    <row r="86" spans="3:38">
      <c r="C86" s="18">
        <f t="shared" si="25"/>
        <v>23</v>
      </c>
      <c r="D86" s="18" t="e">
        <f t="shared" ref="D86" si="108">IF(INDEX($D$9:$D$38,C85)=0,NA(),-INDEX($D$9:$D$38,C85)/2)</f>
        <v>#N/A</v>
      </c>
      <c r="E86" s="18" t="e">
        <f t="shared" si="20"/>
        <v>#N/A</v>
      </c>
      <c r="F86" s="18">
        <f t="shared" ref="F86" si="109">INDEX($G$9:$G$38,C86)-INDEX($E$9:$E$38,C86)/2</f>
        <v>0</v>
      </c>
      <c r="W86" s="11"/>
      <c r="X86" s="12"/>
      <c r="Y86" s="11"/>
      <c r="Z86" s="12"/>
      <c r="AA86" s="11"/>
      <c r="AB86" s="12"/>
      <c r="AC86" s="11"/>
      <c r="AD86" s="12"/>
      <c r="AE86" s="11"/>
      <c r="AF86" s="12"/>
      <c r="AG86" s="11"/>
      <c r="AH86" s="12"/>
      <c r="AI86" s="11"/>
      <c r="AJ86" s="12"/>
      <c r="AK86" s="11"/>
      <c r="AL86" s="12"/>
    </row>
    <row r="87" spans="3:38">
      <c r="C87" s="18">
        <f t="shared" si="25"/>
        <v>24</v>
      </c>
      <c r="D87" s="18" t="e">
        <f t="shared" ref="D87" si="110">IF(INDEX($C$9:$C$38,C87)=0,NA(),-INDEX($C$9:$C$38,C87)/2)</f>
        <v>#N/A</v>
      </c>
      <c r="E87" s="18" t="e">
        <f t="shared" si="20"/>
        <v>#N/A</v>
      </c>
      <c r="F87" s="18">
        <f t="shared" ref="F87" si="111">INDEX($G$9:$G$38,C87)+INDEX($E$9:$E$38,C87)/2</f>
        <v>0</v>
      </c>
      <c r="W87" s="11"/>
      <c r="X87" s="12"/>
      <c r="Y87" s="11"/>
      <c r="Z87" s="12"/>
      <c r="AA87" s="11"/>
      <c r="AB87" s="12"/>
      <c r="AC87" s="11"/>
      <c r="AD87" s="12"/>
      <c r="AE87" s="11"/>
      <c r="AF87" s="12"/>
      <c r="AG87" s="11"/>
      <c r="AH87" s="12"/>
      <c r="AI87" s="11"/>
      <c r="AJ87" s="12"/>
      <c r="AK87" s="11"/>
      <c r="AL87" s="12"/>
    </row>
    <row r="88" spans="3:38">
      <c r="C88" s="18">
        <f t="shared" si="25"/>
        <v>24</v>
      </c>
      <c r="D88" s="18" t="e">
        <f t="shared" ref="D88" si="112">IF(INDEX($D$9:$D$38,C87)=0,NA(),-INDEX($D$9:$D$38,C87)/2)</f>
        <v>#N/A</v>
      </c>
      <c r="E88" s="18" t="e">
        <f t="shared" si="20"/>
        <v>#N/A</v>
      </c>
      <c r="F88" s="18">
        <f t="shared" ref="F88" si="113">INDEX($G$9:$G$38,C88)-INDEX($E$9:$E$38,C88)/2</f>
        <v>0</v>
      </c>
      <c r="W88" s="11"/>
      <c r="X88" s="12"/>
      <c r="Y88" s="11"/>
      <c r="Z88" s="12"/>
      <c r="AA88" s="11"/>
      <c r="AB88" s="12"/>
      <c r="AC88" s="11"/>
      <c r="AD88" s="12"/>
      <c r="AE88" s="11"/>
      <c r="AF88" s="12"/>
      <c r="AG88" s="11"/>
      <c r="AH88" s="12"/>
      <c r="AI88" s="11"/>
      <c r="AJ88" s="12"/>
      <c r="AK88" s="11"/>
      <c r="AL88" s="12"/>
    </row>
    <row r="89" spans="3:38">
      <c r="C89" s="18">
        <f t="shared" si="25"/>
        <v>25</v>
      </c>
      <c r="D89" s="18" t="e">
        <f t="shared" ref="D89" si="114">IF(INDEX($C$9:$C$38,C89)=0,NA(),-INDEX($C$9:$C$38,C89)/2)</f>
        <v>#N/A</v>
      </c>
      <c r="E89" s="18" t="e">
        <f t="shared" si="20"/>
        <v>#N/A</v>
      </c>
      <c r="F89" s="18">
        <f t="shared" ref="F89" si="115">INDEX($G$9:$G$38,C89)+INDEX($E$9:$E$38,C89)/2</f>
        <v>0</v>
      </c>
      <c r="W89" s="11"/>
      <c r="X89" s="12"/>
      <c r="Y89" s="11"/>
      <c r="Z89" s="12"/>
      <c r="AA89" s="11"/>
      <c r="AB89" s="12"/>
      <c r="AC89" s="11"/>
      <c r="AD89" s="12"/>
      <c r="AE89" s="11"/>
      <c r="AF89" s="12"/>
      <c r="AG89" s="11"/>
      <c r="AH89" s="12"/>
      <c r="AI89" s="11"/>
      <c r="AJ89" s="12"/>
      <c r="AK89" s="11"/>
      <c r="AL89" s="12"/>
    </row>
    <row r="90" spans="3:38">
      <c r="C90" s="18">
        <f t="shared" si="25"/>
        <v>25</v>
      </c>
      <c r="D90" s="18" t="e">
        <f t="shared" ref="D90" si="116">IF(INDEX($D$9:$D$38,C89)=0,NA(),-INDEX($D$9:$D$38,C89)/2)</f>
        <v>#N/A</v>
      </c>
      <c r="E90" s="18" t="e">
        <f t="shared" si="20"/>
        <v>#N/A</v>
      </c>
      <c r="F90" s="18">
        <f t="shared" ref="F90" si="117">INDEX($G$9:$G$38,C90)-INDEX($E$9:$E$38,C90)/2</f>
        <v>0</v>
      </c>
      <c r="W90" s="11"/>
      <c r="X90" s="12"/>
      <c r="Y90" s="11"/>
      <c r="Z90" s="12"/>
      <c r="AA90" s="11"/>
      <c r="AB90" s="12"/>
      <c r="AC90" s="11"/>
      <c r="AD90" s="12"/>
      <c r="AE90" s="11"/>
      <c r="AF90" s="12"/>
      <c r="AG90" s="11"/>
      <c r="AH90" s="12"/>
      <c r="AI90" s="11"/>
      <c r="AJ90" s="12"/>
      <c r="AK90" s="11"/>
      <c r="AL90" s="12"/>
    </row>
    <row r="91" spans="3:38">
      <c r="C91" s="18">
        <f t="shared" si="25"/>
        <v>26</v>
      </c>
      <c r="D91" s="18" t="e">
        <f t="shared" ref="D91" si="118">IF(INDEX($C$9:$C$38,C91)=0,NA(),-INDEX($C$9:$C$38,C91)/2)</f>
        <v>#N/A</v>
      </c>
      <c r="E91" s="18" t="e">
        <f t="shared" si="20"/>
        <v>#N/A</v>
      </c>
      <c r="F91" s="18">
        <f t="shared" ref="F91" si="119">INDEX($G$9:$G$38,C91)+INDEX($E$9:$E$38,C91)/2</f>
        <v>0</v>
      </c>
      <c r="W91" s="11"/>
      <c r="X91" s="12"/>
      <c r="Y91" s="11"/>
      <c r="Z91" s="12"/>
      <c r="AA91" s="11"/>
      <c r="AB91" s="12"/>
      <c r="AC91" s="11"/>
      <c r="AD91" s="12"/>
      <c r="AE91" s="11"/>
      <c r="AF91" s="12"/>
      <c r="AG91" s="11"/>
      <c r="AH91" s="12"/>
      <c r="AI91" s="11"/>
      <c r="AJ91" s="12"/>
      <c r="AK91" s="11"/>
      <c r="AL91" s="12"/>
    </row>
    <row r="92" spans="3:38">
      <c r="C92" s="18">
        <f t="shared" si="25"/>
        <v>26</v>
      </c>
      <c r="D92" s="18" t="e">
        <f t="shared" ref="D92" si="120">IF(INDEX($D$9:$D$38,C91)=0,NA(),-INDEX($D$9:$D$38,C91)/2)</f>
        <v>#N/A</v>
      </c>
      <c r="E92" s="18" t="e">
        <f t="shared" si="20"/>
        <v>#N/A</v>
      </c>
      <c r="F92" s="18">
        <f t="shared" ref="F92" si="121">INDEX($G$9:$G$38,C92)-INDEX($E$9:$E$38,C92)/2</f>
        <v>0</v>
      </c>
      <c r="W92" s="11"/>
      <c r="X92" s="12"/>
      <c r="Y92" s="11"/>
      <c r="Z92" s="12"/>
      <c r="AA92" s="11"/>
      <c r="AB92" s="12"/>
      <c r="AC92" s="11"/>
      <c r="AD92" s="12"/>
      <c r="AE92" s="11"/>
      <c r="AF92" s="12"/>
      <c r="AG92" s="11"/>
      <c r="AH92" s="12"/>
      <c r="AI92" s="11"/>
      <c r="AJ92" s="12"/>
      <c r="AK92" s="11"/>
      <c r="AL92" s="12"/>
    </row>
    <row r="93" spans="3:38">
      <c r="C93" s="18">
        <f t="shared" si="25"/>
        <v>27</v>
      </c>
      <c r="D93" s="18" t="e">
        <f t="shared" ref="D93" si="122">IF(INDEX($C$9:$C$38,C93)=0,NA(),-INDEX($C$9:$C$38,C93)/2)</f>
        <v>#N/A</v>
      </c>
      <c r="E93" s="18" t="e">
        <f t="shared" si="20"/>
        <v>#N/A</v>
      </c>
      <c r="F93" s="18">
        <f t="shared" ref="F93" si="123">INDEX($G$9:$G$38,C93)+INDEX($E$9:$E$38,C93)/2</f>
        <v>0</v>
      </c>
      <c r="W93" s="11"/>
      <c r="X93" s="12"/>
      <c r="Y93" s="11"/>
      <c r="Z93" s="12"/>
      <c r="AA93" s="11"/>
      <c r="AB93" s="12"/>
      <c r="AC93" s="11"/>
      <c r="AD93" s="12"/>
      <c r="AE93" s="11"/>
      <c r="AF93" s="12"/>
      <c r="AG93" s="11"/>
      <c r="AH93" s="12"/>
      <c r="AI93" s="11"/>
      <c r="AJ93" s="12"/>
      <c r="AK93" s="11"/>
      <c r="AL93" s="12"/>
    </row>
    <row r="94" spans="3:38">
      <c r="C94" s="18">
        <f t="shared" si="25"/>
        <v>27</v>
      </c>
      <c r="D94" s="18" t="e">
        <f t="shared" ref="D94" si="124">IF(INDEX($D$9:$D$38,C93)=0,NA(),-INDEX($D$9:$D$38,C93)/2)</f>
        <v>#N/A</v>
      </c>
      <c r="E94" s="18" t="e">
        <f t="shared" si="20"/>
        <v>#N/A</v>
      </c>
      <c r="F94" s="18">
        <f t="shared" ref="F94" si="125">INDEX($G$9:$G$38,C94)-INDEX($E$9:$E$38,C94)/2</f>
        <v>0</v>
      </c>
      <c r="W94" s="11"/>
      <c r="X94" s="12"/>
      <c r="Y94" s="11"/>
      <c r="Z94" s="12"/>
      <c r="AA94" s="11"/>
      <c r="AB94" s="12"/>
      <c r="AC94" s="11"/>
      <c r="AD94" s="12"/>
      <c r="AE94" s="11"/>
      <c r="AF94" s="12"/>
      <c r="AG94" s="11"/>
      <c r="AH94" s="12"/>
      <c r="AI94" s="11"/>
      <c r="AJ94" s="12"/>
      <c r="AK94" s="11"/>
      <c r="AL94" s="12"/>
    </row>
    <row r="95" spans="3:38">
      <c r="C95" s="18">
        <f t="shared" si="25"/>
        <v>28</v>
      </c>
      <c r="D95" s="18" t="e">
        <f t="shared" ref="D95" si="126">IF(INDEX($C$9:$C$38,C95)=0,NA(),-INDEX($C$9:$C$38,C95)/2)</f>
        <v>#N/A</v>
      </c>
      <c r="E95" s="18" t="e">
        <f t="shared" si="20"/>
        <v>#N/A</v>
      </c>
      <c r="F95" s="18">
        <f t="shared" ref="F95" si="127">INDEX($G$9:$G$38,C95)+INDEX($E$9:$E$38,C95)/2</f>
        <v>0</v>
      </c>
      <c r="W95" s="11"/>
      <c r="X95" s="12"/>
      <c r="Y95" s="11"/>
      <c r="Z95" s="12"/>
      <c r="AA95" s="11"/>
      <c r="AB95" s="12"/>
      <c r="AC95" s="11"/>
      <c r="AD95" s="12"/>
      <c r="AE95" s="11"/>
      <c r="AF95" s="12"/>
      <c r="AG95" s="11"/>
      <c r="AH95" s="12"/>
      <c r="AI95" s="11"/>
      <c r="AJ95" s="12"/>
      <c r="AK95" s="11"/>
      <c r="AL95" s="12"/>
    </row>
    <row r="96" spans="3:38">
      <c r="C96" s="18">
        <f t="shared" si="25"/>
        <v>28</v>
      </c>
      <c r="D96" s="18" t="e">
        <f t="shared" ref="D96" si="128">IF(INDEX($D$9:$D$38,C95)=0,NA(),-INDEX($D$9:$D$38,C95)/2)</f>
        <v>#N/A</v>
      </c>
      <c r="E96" s="18" t="e">
        <f t="shared" si="20"/>
        <v>#N/A</v>
      </c>
      <c r="F96" s="18">
        <f t="shared" ref="F96" si="129">INDEX($G$9:$G$38,C96)-INDEX($E$9:$E$38,C96)/2</f>
        <v>0</v>
      </c>
      <c r="W96" s="11"/>
      <c r="X96" s="12"/>
      <c r="Y96" s="11"/>
      <c r="Z96" s="12"/>
      <c r="AA96" s="11"/>
      <c r="AB96" s="12"/>
      <c r="AC96" s="11"/>
      <c r="AD96" s="12"/>
      <c r="AE96" s="11"/>
      <c r="AF96" s="12"/>
      <c r="AG96" s="11"/>
      <c r="AH96" s="12"/>
      <c r="AI96" s="11"/>
      <c r="AJ96" s="12"/>
      <c r="AK96" s="11"/>
      <c r="AL96" s="12"/>
    </row>
    <row r="97" spans="3:38">
      <c r="C97" s="18">
        <f t="shared" si="25"/>
        <v>29</v>
      </c>
      <c r="D97" s="18" t="e">
        <f t="shared" ref="D97" si="130">IF(INDEX($C$9:$C$38,C97)=0,NA(),-INDEX($C$9:$C$38,C97)/2)</f>
        <v>#N/A</v>
      </c>
      <c r="E97" s="18" t="e">
        <f t="shared" si="20"/>
        <v>#N/A</v>
      </c>
      <c r="F97" s="18">
        <f t="shared" ref="F97" si="131">INDEX($G$9:$G$38,C97)+INDEX($E$9:$E$38,C97)/2</f>
        <v>0</v>
      </c>
      <c r="W97" s="11"/>
      <c r="X97" s="12"/>
      <c r="Y97" s="11"/>
      <c r="Z97" s="12"/>
      <c r="AA97" s="11"/>
      <c r="AB97" s="12"/>
      <c r="AC97" s="11"/>
      <c r="AD97" s="12"/>
      <c r="AE97" s="11"/>
      <c r="AF97" s="12"/>
      <c r="AG97" s="11"/>
      <c r="AH97" s="12"/>
      <c r="AI97" s="11"/>
      <c r="AJ97" s="12"/>
      <c r="AK97" s="11"/>
      <c r="AL97" s="12"/>
    </row>
    <row r="98" spans="3:38">
      <c r="C98" s="18">
        <f t="shared" si="25"/>
        <v>29</v>
      </c>
      <c r="D98" s="18" t="e">
        <f t="shared" ref="D98" si="132">IF(INDEX($D$9:$D$38,C97)=0,NA(),-INDEX($D$9:$D$38,C97)/2)</f>
        <v>#N/A</v>
      </c>
      <c r="E98" s="18" t="e">
        <f t="shared" si="20"/>
        <v>#N/A</v>
      </c>
      <c r="F98" s="18">
        <f t="shared" ref="F98" si="133">INDEX($G$9:$G$38,C98)-INDEX($E$9:$E$38,C98)/2</f>
        <v>0</v>
      </c>
      <c r="W98" s="11"/>
      <c r="X98" s="12"/>
      <c r="Y98" s="11"/>
      <c r="Z98" s="12"/>
      <c r="AA98" s="11"/>
      <c r="AB98" s="12"/>
      <c r="AC98" s="11"/>
      <c r="AD98" s="12"/>
      <c r="AE98" s="11"/>
      <c r="AF98" s="12"/>
      <c r="AG98" s="11"/>
      <c r="AH98" s="12"/>
      <c r="AI98" s="11"/>
      <c r="AJ98" s="12"/>
      <c r="AK98" s="11"/>
      <c r="AL98" s="12"/>
    </row>
    <row r="99" spans="3:38">
      <c r="C99" s="18">
        <f t="shared" si="25"/>
        <v>30</v>
      </c>
      <c r="D99" s="18" t="e">
        <f t="shared" ref="D99" si="134">IF(INDEX($C$9:$C$38,C99)=0,NA(),-INDEX($C$9:$C$38,C99)/2)</f>
        <v>#N/A</v>
      </c>
      <c r="E99" s="18" t="e">
        <f t="shared" si="20"/>
        <v>#N/A</v>
      </c>
      <c r="F99" s="18">
        <f t="shared" ref="F99" si="135">INDEX($G$9:$G$38,C99)+INDEX($E$9:$E$38,C99)/2</f>
        <v>0</v>
      </c>
      <c r="W99" s="11"/>
      <c r="X99" s="12"/>
      <c r="Y99" s="11"/>
      <c r="Z99" s="12"/>
      <c r="AA99" s="11"/>
      <c r="AB99" s="12"/>
      <c r="AC99" s="11"/>
      <c r="AD99" s="12"/>
      <c r="AE99" s="11"/>
      <c r="AF99" s="12"/>
      <c r="AG99" s="11"/>
      <c r="AH99" s="12"/>
      <c r="AI99" s="11"/>
      <c r="AJ99" s="12"/>
      <c r="AK99" s="11"/>
      <c r="AL99" s="12"/>
    </row>
    <row r="100" spans="3:38">
      <c r="C100" s="18">
        <f t="shared" si="25"/>
        <v>30</v>
      </c>
      <c r="D100" s="18" t="e">
        <f t="shared" ref="D100" si="136">IF(INDEX($D$9:$D$38,C99)=0,NA(),-INDEX($D$9:$D$38,C99)/2)</f>
        <v>#N/A</v>
      </c>
      <c r="E100" s="18" t="e">
        <f t="shared" si="20"/>
        <v>#N/A</v>
      </c>
      <c r="F100" s="18">
        <f t="shared" ref="F100" si="137">INDEX($G$9:$G$38,C100)-INDEX($E$9:$E$38,C100)/2</f>
        <v>0</v>
      </c>
      <c r="W100" s="11"/>
      <c r="X100" s="12"/>
      <c r="Y100" s="11"/>
      <c r="Z100" s="12"/>
      <c r="AA100" s="11"/>
      <c r="AB100" s="12"/>
      <c r="AC100" s="11"/>
      <c r="AD100" s="12"/>
      <c r="AE100" s="11"/>
      <c r="AF100" s="12"/>
      <c r="AG100" s="11"/>
      <c r="AH100" s="12"/>
      <c r="AI100" s="11"/>
      <c r="AJ100" s="12"/>
      <c r="AK100" s="11"/>
      <c r="AL100" s="12"/>
    </row>
    <row r="101" spans="3:38">
      <c r="W101" s="11"/>
      <c r="X101" s="12"/>
      <c r="Y101" s="11"/>
      <c r="Z101" s="12"/>
      <c r="AA101" s="11"/>
      <c r="AB101" s="12"/>
      <c r="AC101" s="11"/>
      <c r="AD101" s="12"/>
      <c r="AE101" s="11"/>
      <c r="AF101" s="12"/>
      <c r="AG101" s="11"/>
      <c r="AH101" s="12"/>
      <c r="AI101" s="11"/>
      <c r="AJ101" s="12"/>
      <c r="AK101" s="11"/>
      <c r="AL101" s="12"/>
    </row>
    <row r="102" spans="3:38">
      <c r="W102" s="11"/>
      <c r="X102" s="12"/>
      <c r="Y102" s="11"/>
      <c r="Z102" s="12"/>
      <c r="AA102" s="11"/>
      <c r="AB102" s="12"/>
      <c r="AC102" s="11"/>
      <c r="AD102" s="12"/>
      <c r="AE102" s="11"/>
      <c r="AF102" s="12"/>
      <c r="AG102" s="11"/>
      <c r="AH102" s="12"/>
      <c r="AI102" s="11"/>
      <c r="AJ102" s="12"/>
      <c r="AK102" s="11"/>
      <c r="AL102" s="12"/>
    </row>
    <row r="103" spans="3:38">
      <c r="W103" s="11"/>
      <c r="X103" s="12"/>
      <c r="Y103" s="11"/>
      <c r="Z103" s="12"/>
      <c r="AA103" s="11"/>
      <c r="AB103" s="12"/>
      <c r="AC103" s="11"/>
      <c r="AD103" s="12"/>
      <c r="AE103" s="11"/>
      <c r="AF103" s="12"/>
      <c r="AG103" s="11"/>
      <c r="AH103" s="12"/>
      <c r="AI103" s="11"/>
      <c r="AJ103" s="12"/>
      <c r="AK103" s="11"/>
      <c r="AL103" s="12"/>
    </row>
    <row r="104" spans="3:38">
      <c r="W104" s="11"/>
      <c r="X104" s="12"/>
      <c r="Y104" s="11"/>
      <c r="Z104" s="12"/>
      <c r="AA104" s="11"/>
      <c r="AB104" s="12"/>
      <c r="AC104" s="11"/>
      <c r="AD104" s="12"/>
      <c r="AE104" s="11"/>
      <c r="AF104" s="12"/>
      <c r="AG104" s="11"/>
      <c r="AH104" s="12"/>
      <c r="AI104" s="11"/>
      <c r="AJ104" s="12"/>
      <c r="AK104" s="11"/>
      <c r="AL104" s="12"/>
    </row>
    <row r="105" spans="3:38">
      <c r="W105" s="11"/>
      <c r="X105" s="12"/>
      <c r="Y105" s="11"/>
      <c r="Z105" s="12"/>
      <c r="AA105" s="11"/>
      <c r="AB105" s="12"/>
      <c r="AC105" s="11"/>
      <c r="AD105" s="12"/>
      <c r="AE105" s="11"/>
      <c r="AF105" s="12"/>
      <c r="AG105" s="11"/>
      <c r="AH105" s="12"/>
      <c r="AI105" s="11"/>
      <c r="AJ105" s="12"/>
      <c r="AK105" s="11"/>
      <c r="AL105" s="12"/>
    </row>
    <row r="106" spans="3:38">
      <c r="W106" s="11"/>
      <c r="X106" s="12"/>
      <c r="Y106" s="11"/>
      <c r="Z106" s="12"/>
      <c r="AA106" s="11"/>
      <c r="AB106" s="12"/>
      <c r="AC106" s="11"/>
      <c r="AD106" s="12"/>
      <c r="AE106" s="11"/>
      <c r="AF106" s="12"/>
      <c r="AG106" s="11"/>
      <c r="AH106" s="12"/>
      <c r="AI106" s="11"/>
      <c r="AJ106" s="12"/>
      <c r="AK106" s="11"/>
      <c r="AL106" s="12"/>
    </row>
    <row r="107" spans="3:38">
      <c r="W107" s="11"/>
      <c r="X107" s="12"/>
      <c r="Y107" s="11"/>
      <c r="Z107" s="12"/>
      <c r="AA107" s="11"/>
      <c r="AB107" s="12"/>
      <c r="AC107" s="11"/>
      <c r="AD107" s="12"/>
      <c r="AE107" s="11"/>
      <c r="AF107" s="12"/>
      <c r="AG107" s="11"/>
      <c r="AH107" s="12"/>
      <c r="AI107" s="11"/>
      <c r="AJ107" s="12"/>
      <c r="AK107" s="11"/>
      <c r="AL107" s="12"/>
    </row>
    <row r="108" spans="3:38">
      <c r="W108" s="11"/>
      <c r="X108" s="12"/>
      <c r="Y108" s="11"/>
      <c r="Z108" s="12"/>
      <c r="AA108" s="11"/>
      <c r="AB108" s="12"/>
      <c r="AC108" s="11"/>
      <c r="AD108" s="12"/>
      <c r="AE108" s="11"/>
      <c r="AF108" s="12"/>
      <c r="AG108" s="11"/>
      <c r="AH108" s="12"/>
      <c r="AI108" s="11"/>
      <c r="AJ108" s="12"/>
      <c r="AK108" s="11"/>
      <c r="AL108" s="12"/>
    </row>
    <row r="109" spans="3:38">
      <c r="W109" s="11"/>
      <c r="X109" s="12"/>
      <c r="Y109" s="11"/>
      <c r="Z109" s="12"/>
      <c r="AA109" s="11"/>
      <c r="AB109" s="12"/>
      <c r="AC109" s="11"/>
      <c r="AD109" s="12"/>
      <c r="AE109" s="11"/>
      <c r="AF109" s="12"/>
      <c r="AG109" s="11"/>
      <c r="AH109" s="12"/>
      <c r="AI109" s="11"/>
      <c r="AJ109" s="12"/>
      <c r="AK109" s="11"/>
      <c r="AL109" s="12"/>
    </row>
    <row r="110" spans="3:38">
      <c r="W110" s="11"/>
      <c r="X110" s="12"/>
      <c r="Y110" s="11"/>
      <c r="Z110" s="12"/>
      <c r="AA110" s="11"/>
      <c r="AB110" s="12"/>
      <c r="AC110" s="11"/>
      <c r="AD110" s="12"/>
      <c r="AE110" s="11"/>
      <c r="AF110" s="12"/>
      <c r="AG110" s="11"/>
      <c r="AH110" s="12"/>
      <c r="AI110" s="11"/>
      <c r="AJ110" s="12"/>
      <c r="AK110" s="11"/>
      <c r="AL110" s="12"/>
    </row>
    <row r="111" spans="3:38">
      <c r="W111" s="11"/>
      <c r="X111" s="12"/>
      <c r="Y111" s="11"/>
      <c r="Z111" s="12"/>
      <c r="AA111" s="11"/>
      <c r="AB111" s="12"/>
      <c r="AC111" s="11"/>
      <c r="AD111" s="12"/>
      <c r="AE111" s="11"/>
      <c r="AF111" s="12"/>
      <c r="AG111" s="11"/>
      <c r="AH111" s="12"/>
      <c r="AI111" s="11"/>
      <c r="AJ111" s="12"/>
      <c r="AK111" s="11"/>
      <c r="AL111" s="12"/>
    </row>
    <row r="112" spans="3:38">
      <c r="W112" s="11"/>
      <c r="X112" s="12"/>
      <c r="Y112" s="11"/>
      <c r="Z112" s="12"/>
      <c r="AA112" s="11"/>
      <c r="AB112" s="12"/>
      <c r="AC112" s="11"/>
      <c r="AD112" s="12"/>
      <c r="AE112" s="11"/>
      <c r="AF112" s="12"/>
      <c r="AG112" s="11"/>
      <c r="AH112" s="12"/>
      <c r="AI112" s="11"/>
      <c r="AJ112" s="12"/>
      <c r="AK112" s="11"/>
      <c r="AL112" s="12"/>
    </row>
    <row r="113" spans="23:38">
      <c r="W113" s="11"/>
      <c r="X113" s="12"/>
      <c r="Y113" s="11"/>
      <c r="Z113" s="12"/>
      <c r="AA113" s="11"/>
      <c r="AB113" s="12"/>
      <c r="AC113" s="11"/>
      <c r="AD113" s="12"/>
      <c r="AE113" s="11"/>
      <c r="AF113" s="12"/>
      <c r="AG113" s="11"/>
      <c r="AH113" s="12"/>
      <c r="AI113" s="11"/>
      <c r="AJ113" s="12"/>
      <c r="AK113" s="11"/>
      <c r="AL113" s="12"/>
    </row>
    <row r="114" spans="23:38">
      <c r="W114" s="11"/>
      <c r="X114" s="12"/>
      <c r="Y114" s="11"/>
      <c r="Z114" s="12"/>
      <c r="AA114" s="11"/>
      <c r="AB114" s="12"/>
      <c r="AC114" s="11"/>
      <c r="AD114" s="12"/>
      <c r="AE114" s="11"/>
      <c r="AF114" s="12"/>
      <c r="AG114" s="11"/>
      <c r="AH114" s="12"/>
      <c r="AI114" s="11"/>
      <c r="AJ114" s="12"/>
      <c r="AK114" s="11"/>
      <c r="AL114" s="12"/>
    </row>
    <row r="115" spans="23:38">
      <c r="W115" s="11"/>
      <c r="X115" s="12"/>
      <c r="Y115" s="11"/>
      <c r="Z115" s="12"/>
      <c r="AA115" s="11"/>
      <c r="AB115" s="12"/>
      <c r="AC115" s="11"/>
      <c r="AD115" s="12"/>
      <c r="AE115" s="11"/>
      <c r="AF115" s="12"/>
      <c r="AG115" s="11"/>
      <c r="AH115" s="12"/>
      <c r="AI115" s="11"/>
      <c r="AJ115" s="12"/>
      <c r="AK115" s="11"/>
      <c r="AL115" s="12"/>
    </row>
    <row r="116" spans="23:38">
      <c r="W116" s="11"/>
      <c r="X116" s="12"/>
      <c r="Y116" s="11"/>
      <c r="Z116" s="12"/>
      <c r="AA116" s="11"/>
      <c r="AB116" s="12"/>
      <c r="AC116" s="11"/>
      <c r="AD116" s="12"/>
      <c r="AE116" s="11"/>
      <c r="AF116" s="12"/>
      <c r="AG116" s="11"/>
      <c r="AH116" s="12"/>
      <c r="AI116" s="11"/>
      <c r="AJ116" s="12"/>
      <c r="AK116" s="11"/>
      <c r="AL116" s="12"/>
    </row>
    <row r="117" spans="23:38">
      <c r="W117" s="11"/>
      <c r="X117" s="12"/>
      <c r="Y117" s="11"/>
      <c r="Z117" s="12"/>
      <c r="AA117" s="11"/>
      <c r="AB117" s="12"/>
      <c r="AC117" s="11"/>
      <c r="AD117" s="12"/>
      <c r="AE117" s="11"/>
      <c r="AF117" s="12"/>
      <c r="AG117" s="11"/>
      <c r="AH117" s="12"/>
      <c r="AI117" s="11"/>
      <c r="AJ117" s="12"/>
      <c r="AK117" s="11"/>
      <c r="AL117" s="12"/>
    </row>
    <row r="118" spans="23:38">
      <c r="W118" s="11"/>
      <c r="X118" s="12"/>
      <c r="Y118" s="11"/>
      <c r="Z118" s="12"/>
      <c r="AA118" s="11"/>
      <c r="AB118" s="12"/>
      <c r="AC118" s="11"/>
      <c r="AD118" s="12"/>
      <c r="AE118" s="11"/>
      <c r="AF118" s="12"/>
      <c r="AG118" s="11"/>
      <c r="AH118" s="12"/>
      <c r="AI118" s="11"/>
      <c r="AJ118" s="12"/>
      <c r="AK118" s="11"/>
      <c r="AL118" s="12"/>
    </row>
    <row r="119" spans="23:38">
      <c r="W119" s="11"/>
      <c r="X119" s="12"/>
      <c r="Y119" s="11"/>
      <c r="Z119" s="12"/>
      <c r="AA119" s="11"/>
      <c r="AB119" s="12"/>
      <c r="AC119" s="11"/>
      <c r="AD119" s="12"/>
      <c r="AE119" s="11"/>
      <c r="AF119" s="12"/>
      <c r="AG119" s="11"/>
      <c r="AH119" s="12"/>
      <c r="AI119" s="11"/>
      <c r="AJ119" s="12"/>
      <c r="AK119" s="11"/>
      <c r="AL119" s="12"/>
    </row>
    <row r="120" spans="23:38">
      <c r="W120" s="11"/>
      <c r="X120" s="12"/>
      <c r="Y120" s="11"/>
      <c r="Z120" s="12"/>
      <c r="AA120" s="11"/>
      <c r="AB120" s="12"/>
      <c r="AC120" s="11"/>
      <c r="AD120" s="12"/>
      <c r="AE120" s="11"/>
      <c r="AF120" s="12"/>
      <c r="AG120" s="11"/>
      <c r="AH120" s="12"/>
      <c r="AI120" s="11"/>
      <c r="AJ120" s="12"/>
      <c r="AK120" s="11"/>
      <c r="AL120" s="12"/>
    </row>
    <row r="121" spans="23:38">
      <c r="W121" s="11"/>
      <c r="X121" s="12"/>
      <c r="Y121" s="11"/>
      <c r="Z121" s="12"/>
      <c r="AA121" s="11"/>
      <c r="AB121" s="12"/>
      <c r="AC121" s="11"/>
      <c r="AD121" s="12"/>
      <c r="AE121" s="11"/>
      <c r="AF121" s="12"/>
      <c r="AG121" s="11"/>
      <c r="AH121" s="12"/>
      <c r="AI121" s="11"/>
      <c r="AJ121" s="12"/>
      <c r="AK121" s="11"/>
      <c r="AL121" s="12"/>
    </row>
    <row r="122" spans="23:38">
      <c r="W122" s="11"/>
      <c r="X122" s="12"/>
      <c r="Y122" s="11"/>
      <c r="Z122" s="12"/>
      <c r="AA122" s="11"/>
      <c r="AB122" s="12"/>
      <c r="AC122" s="11"/>
      <c r="AD122" s="12"/>
      <c r="AE122" s="11"/>
      <c r="AF122" s="12"/>
      <c r="AG122" s="11"/>
      <c r="AH122" s="12"/>
      <c r="AI122" s="11"/>
      <c r="AJ122" s="12"/>
      <c r="AK122" s="11"/>
      <c r="AL122" s="12"/>
    </row>
    <row r="123" spans="23:38">
      <c r="W123" s="11"/>
      <c r="X123" s="12"/>
      <c r="Y123" s="11"/>
      <c r="Z123" s="12"/>
      <c r="AA123" s="11"/>
      <c r="AB123" s="12"/>
      <c r="AC123" s="11"/>
      <c r="AD123" s="12"/>
      <c r="AE123" s="11"/>
      <c r="AF123" s="12"/>
      <c r="AG123" s="11"/>
      <c r="AH123" s="12"/>
      <c r="AI123" s="11"/>
      <c r="AJ123" s="12"/>
      <c r="AK123" s="11"/>
      <c r="AL123" s="12"/>
    </row>
    <row r="124" spans="23:38">
      <c r="W124" s="11"/>
      <c r="X124" s="12"/>
      <c r="Y124" s="11"/>
      <c r="Z124" s="12"/>
      <c r="AA124" s="11"/>
      <c r="AB124" s="12"/>
      <c r="AC124" s="11"/>
      <c r="AD124" s="12"/>
      <c r="AE124" s="11"/>
      <c r="AF124" s="12"/>
      <c r="AG124" s="11"/>
      <c r="AH124" s="12"/>
      <c r="AI124" s="11"/>
      <c r="AJ124" s="12"/>
      <c r="AK124" s="11"/>
      <c r="AL124" s="12"/>
    </row>
    <row r="125" spans="23:38">
      <c r="W125" s="11"/>
      <c r="X125" s="12"/>
      <c r="Y125" s="11"/>
      <c r="Z125" s="12"/>
      <c r="AA125" s="11"/>
      <c r="AB125" s="12"/>
      <c r="AC125" s="11"/>
      <c r="AD125" s="12"/>
      <c r="AE125" s="11"/>
      <c r="AF125" s="12"/>
      <c r="AG125" s="11"/>
      <c r="AH125" s="12"/>
      <c r="AI125" s="11"/>
      <c r="AJ125" s="12"/>
      <c r="AK125" s="11"/>
      <c r="AL125" s="12"/>
    </row>
    <row r="126" spans="23:38">
      <c r="W126" s="11"/>
      <c r="X126" s="12"/>
      <c r="Y126" s="11"/>
      <c r="Z126" s="12"/>
      <c r="AA126" s="11"/>
      <c r="AB126" s="12"/>
      <c r="AC126" s="11"/>
      <c r="AD126" s="12"/>
      <c r="AE126" s="11"/>
      <c r="AF126" s="12"/>
      <c r="AG126" s="11"/>
      <c r="AH126" s="12"/>
      <c r="AI126" s="11"/>
      <c r="AJ126" s="12"/>
      <c r="AK126" s="11"/>
      <c r="AL126" s="12"/>
    </row>
    <row r="127" spans="23:38">
      <c r="W127" s="11"/>
      <c r="X127" s="12"/>
      <c r="Y127" s="11"/>
      <c r="Z127" s="12"/>
      <c r="AA127" s="11"/>
      <c r="AB127" s="12"/>
      <c r="AC127" s="11"/>
      <c r="AD127" s="12"/>
      <c r="AE127" s="11"/>
      <c r="AF127" s="12"/>
      <c r="AG127" s="11"/>
      <c r="AH127" s="12"/>
      <c r="AI127" s="11"/>
      <c r="AJ127" s="12"/>
      <c r="AK127" s="11"/>
      <c r="AL127" s="12"/>
    </row>
    <row r="128" spans="23:38">
      <c r="W128" s="11"/>
      <c r="X128" s="12"/>
      <c r="Y128" s="11"/>
      <c r="Z128" s="12"/>
      <c r="AA128" s="11"/>
      <c r="AB128" s="12"/>
      <c r="AC128" s="11"/>
      <c r="AD128" s="12"/>
      <c r="AE128" s="11"/>
      <c r="AF128" s="12"/>
      <c r="AG128" s="11"/>
      <c r="AH128" s="12"/>
      <c r="AI128" s="11"/>
      <c r="AJ128" s="12"/>
      <c r="AK128" s="11"/>
      <c r="AL128" s="12"/>
    </row>
    <row r="129" spans="23:38">
      <c r="W129" s="11"/>
      <c r="X129" s="12"/>
      <c r="Y129" s="11"/>
      <c r="Z129" s="12"/>
      <c r="AA129" s="11"/>
      <c r="AB129" s="12"/>
      <c r="AC129" s="11"/>
      <c r="AD129" s="12"/>
      <c r="AE129" s="11"/>
      <c r="AF129" s="12"/>
      <c r="AG129" s="11"/>
      <c r="AH129" s="12"/>
      <c r="AI129" s="11"/>
      <c r="AJ129" s="12"/>
      <c r="AK129" s="11"/>
      <c r="AL129" s="12"/>
    </row>
    <row r="130" spans="23:38">
      <c r="W130" s="11"/>
      <c r="X130" s="12"/>
      <c r="Y130" s="11"/>
      <c r="Z130" s="12"/>
      <c r="AA130" s="11"/>
      <c r="AB130" s="12"/>
      <c r="AC130" s="11"/>
      <c r="AD130" s="12"/>
      <c r="AE130" s="11"/>
      <c r="AF130" s="12"/>
      <c r="AG130" s="11"/>
      <c r="AH130" s="12"/>
      <c r="AI130" s="11"/>
      <c r="AJ130" s="12"/>
      <c r="AK130" s="11"/>
      <c r="AL130" s="12"/>
    </row>
    <row r="131" spans="23:38">
      <c r="W131" s="11"/>
      <c r="X131" s="12"/>
      <c r="Y131" s="11"/>
      <c r="Z131" s="12"/>
      <c r="AA131" s="11"/>
      <c r="AB131" s="12"/>
      <c r="AC131" s="11"/>
      <c r="AD131" s="12"/>
      <c r="AE131" s="11"/>
      <c r="AF131" s="12"/>
      <c r="AG131" s="11"/>
      <c r="AH131" s="12"/>
      <c r="AI131" s="11"/>
      <c r="AJ131" s="12"/>
      <c r="AK131" s="11"/>
      <c r="AL131" s="12"/>
    </row>
    <row r="132" spans="23:38">
      <c r="W132" s="11"/>
      <c r="X132" s="12"/>
      <c r="Y132" s="11"/>
      <c r="Z132" s="12"/>
      <c r="AA132" s="11"/>
      <c r="AB132" s="12"/>
      <c r="AC132" s="11"/>
      <c r="AD132" s="12"/>
      <c r="AE132" s="11"/>
      <c r="AF132" s="12"/>
      <c r="AG132" s="11"/>
      <c r="AH132" s="12"/>
      <c r="AI132" s="11"/>
      <c r="AJ132" s="12"/>
      <c r="AK132" s="11"/>
      <c r="AL132" s="12"/>
    </row>
    <row r="133" spans="23:38">
      <c r="W133" s="11"/>
      <c r="X133" s="12"/>
      <c r="Y133" s="11"/>
      <c r="Z133" s="12"/>
      <c r="AA133" s="11"/>
      <c r="AB133" s="12"/>
      <c r="AC133" s="11"/>
      <c r="AD133" s="12"/>
      <c r="AE133" s="11"/>
      <c r="AF133" s="12"/>
      <c r="AG133" s="11"/>
      <c r="AH133" s="12"/>
      <c r="AI133" s="11"/>
      <c r="AJ133" s="12"/>
      <c r="AK133" s="11"/>
      <c r="AL133" s="12"/>
    </row>
    <row r="134" spans="23:38">
      <c r="W134" s="11"/>
      <c r="X134" s="12"/>
      <c r="Y134" s="11"/>
      <c r="Z134" s="12"/>
      <c r="AA134" s="11"/>
      <c r="AB134" s="12"/>
      <c r="AC134" s="11"/>
      <c r="AD134" s="12"/>
      <c r="AE134" s="11"/>
      <c r="AF134" s="12"/>
      <c r="AG134" s="11"/>
      <c r="AH134" s="12"/>
      <c r="AI134" s="11"/>
      <c r="AJ134" s="12"/>
      <c r="AK134" s="11"/>
      <c r="AL134" s="12"/>
    </row>
    <row r="135" spans="23:38">
      <c r="W135" s="11"/>
      <c r="X135" s="12"/>
      <c r="Y135" s="11"/>
      <c r="Z135" s="12"/>
      <c r="AA135" s="11"/>
      <c r="AB135" s="12"/>
      <c r="AC135" s="11"/>
      <c r="AD135" s="12"/>
      <c r="AE135" s="11"/>
      <c r="AF135" s="12"/>
      <c r="AG135" s="11"/>
      <c r="AH135" s="12"/>
      <c r="AI135" s="11"/>
      <c r="AJ135" s="12"/>
      <c r="AK135" s="11"/>
      <c r="AL135" s="12"/>
    </row>
    <row r="136" spans="23:38">
      <c r="W136" s="11"/>
      <c r="X136" s="12"/>
      <c r="Y136" s="11"/>
      <c r="Z136" s="12"/>
      <c r="AA136" s="11"/>
      <c r="AB136" s="12"/>
      <c r="AC136" s="11"/>
      <c r="AD136" s="12"/>
      <c r="AE136" s="11"/>
      <c r="AF136" s="12"/>
      <c r="AG136" s="11"/>
      <c r="AH136" s="12"/>
      <c r="AI136" s="11"/>
      <c r="AJ136" s="12"/>
      <c r="AK136" s="11"/>
      <c r="AL136" s="12"/>
    </row>
    <row r="137" spans="23:38">
      <c r="W137" s="11"/>
      <c r="X137" s="12"/>
      <c r="Y137" s="11"/>
      <c r="Z137" s="12"/>
      <c r="AA137" s="11"/>
      <c r="AB137" s="12"/>
      <c r="AC137" s="11"/>
      <c r="AD137" s="12"/>
      <c r="AE137" s="11"/>
      <c r="AF137" s="12"/>
      <c r="AG137" s="11"/>
      <c r="AH137" s="12"/>
      <c r="AI137" s="11"/>
      <c r="AJ137" s="12"/>
      <c r="AK137" s="11"/>
      <c r="AL137" s="12"/>
    </row>
    <row r="138" spans="23:38">
      <c r="W138" s="11"/>
      <c r="X138" s="12"/>
      <c r="Y138" s="11"/>
      <c r="Z138" s="12"/>
      <c r="AA138" s="11"/>
      <c r="AB138" s="12"/>
      <c r="AC138" s="11"/>
      <c r="AD138" s="12"/>
      <c r="AE138" s="11"/>
      <c r="AF138" s="12"/>
      <c r="AG138" s="11"/>
      <c r="AH138" s="12"/>
      <c r="AI138" s="11"/>
      <c r="AJ138" s="12"/>
      <c r="AK138" s="11"/>
      <c r="AL138" s="12"/>
    </row>
    <row r="139" spans="23:38">
      <c r="W139" s="11"/>
      <c r="X139" s="12"/>
      <c r="Y139" s="11"/>
      <c r="Z139" s="12"/>
      <c r="AA139" s="11"/>
      <c r="AB139" s="12"/>
      <c r="AC139" s="11"/>
      <c r="AD139" s="12"/>
      <c r="AE139" s="11"/>
      <c r="AF139" s="12"/>
      <c r="AG139" s="11"/>
      <c r="AH139" s="12"/>
      <c r="AI139" s="11"/>
      <c r="AJ139" s="12"/>
      <c r="AK139" s="11"/>
      <c r="AL139" s="12"/>
    </row>
    <row r="140" spans="23:38">
      <c r="W140" s="11"/>
      <c r="X140" s="12"/>
      <c r="Y140" s="11"/>
      <c r="Z140" s="12"/>
      <c r="AA140" s="11"/>
      <c r="AB140" s="12"/>
      <c r="AC140" s="11"/>
      <c r="AD140" s="12"/>
      <c r="AE140" s="11"/>
      <c r="AF140" s="12"/>
      <c r="AG140" s="11"/>
      <c r="AH140" s="12"/>
      <c r="AI140" s="11"/>
      <c r="AJ140" s="12"/>
      <c r="AK140" s="11"/>
      <c r="AL140" s="12"/>
    </row>
    <row r="141" spans="23:38">
      <c r="W141" s="11"/>
      <c r="X141" s="12"/>
      <c r="Y141" s="11"/>
      <c r="Z141" s="12"/>
      <c r="AA141" s="11"/>
      <c r="AB141" s="12"/>
      <c r="AC141" s="11"/>
      <c r="AD141" s="12"/>
      <c r="AE141" s="11"/>
      <c r="AF141" s="12"/>
      <c r="AG141" s="11"/>
      <c r="AH141" s="12"/>
      <c r="AI141" s="11"/>
      <c r="AJ141" s="12"/>
      <c r="AK141" s="11"/>
      <c r="AL141" s="12"/>
    </row>
    <row r="142" spans="23:38">
      <c r="W142" s="11"/>
      <c r="X142" s="12"/>
      <c r="Y142" s="11"/>
      <c r="Z142" s="12"/>
      <c r="AA142" s="11"/>
      <c r="AB142" s="12"/>
      <c r="AC142" s="11"/>
      <c r="AD142" s="12"/>
      <c r="AE142" s="11"/>
      <c r="AF142" s="12"/>
      <c r="AG142" s="11"/>
      <c r="AH142" s="12"/>
      <c r="AI142" s="11"/>
      <c r="AJ142" s="12"/>
      <c r="AK142" s="11"/>
      <c r="AL142" s="12"/>
    </row>
    <row r="143" spans="23:38">
      <c r="W143" s="11"/>
      <c r="X143" s="12"/>
      <c r="Y143" s="11"/>
      <c r="Z143" s="12"/>
      <c r="AA143" s="11"/>
      <c r="AB143" s="12"/>
      <c r="AC143" s="11"/>
      <c r="AD143" s="12"/>
      <c r="AE143" s="11"/>
      <c r="AF143" s="12"/>
      <c r="AG143" s="11"/>
      <c r="AH143" s="12"/>
      <c r="AI143" s="11"/>
      <c r="AJ143" s="12"/>
      <c r="AK143" s="11"/>
      <c r="AL143" s="12"/>
    </row>
    <row r="144" spans="23:38">
      <c r="W144" s="11"/>
      <c r="X144" s="12"/>
      <c r="Y144" s="11"/>
      <c r="Z144" s="12"/>
      <c r="AA144" s="11"/>
      <c r="AB144" s="12"/>
      <c r="AC144" s="11"/>
      <c r="AD144" s="12"/>
      <c r="AE144" s="11"/>
      <c r="AF144" s="12"/>
      <c r="AG144" s="11"/>
      <c r="AH144" s="12"/>
      <c r="AI144" s="11"/>
      <c r="AJ144" s="12"/>
      <c r="AK144" s="11"/>
      <c r="AL144" s="12"/>
    </row>
    <row r="145" spans="23:38">
      <c r="W145" s="11"/>
      <c r="X145" s="12"/>
      <c r="Y145" s="11"/>
      <c r="Z145" s="12"/>
      <c r="AA145" s="11"/>
      <c r="AB145" s="12"/>
      <c r="AC145" s="11"/>
      <c r="AD145" s="12"/>
      <c r="AE145" s="11"/>
      <c r="AF145" s="12"/>
      <c r="AG145" s="11"/>
      <c r="AH145" s="12"/>
      <c r="AI145" s="11"/>
      <c r="AJ145" s="12"/>
      <c r="AK145" s="11"/>
      <c r="AL145" s="12"/>
    </row>
    <row r="146" spans="23:38">
      <c r="W146" s="11"/>
      <c r="X146" s="12"/>
      <c r="Y146" s="11"/>
      <c r="Z146" s="12"/>
      <c r="AA146" s="11"/>
      <c r="AB146" s="12"/>
      <c r="AC146" s="11"/>
      <c r="AD146" s="12"/>
      <c r="AE146" s="11"/>
      <c r="AF146" s="12"/>
      <c r="AG146" s="11"/>
      <c r="AH146" s="12"/>
      <c r="AI146" s="11"/>
      <c r="AJ146" s="12"/>
      <c r="AK146" s="11"/>
      <c r="AL146" s="12"/>
    </row>
    <row r="147" spans="23:38">
      <c r="W147" s="11"/>
      <c r="X147" s="12"/>
      <c r="Y147" s="11"/>
      <c r="Z147" s="12"/>
      <c r="AA147" s="11"/>
      <c r="AB147" s="12"/>
      <c r="AC147" s="11"/>
      <c r="AD147" s="12"/>
      <c r="AE147" s="11"/>
      <c r="AF147" s="12"/>
      <c r="AG147" s="11"/>
      <c r="AH147" s="12"/>
      <c r="AI147" s="11"/>
      <c r="AJ147" s="12"/>
      <c r="AK147" s="11"/>
      <c r="AL147" s="12"/>
    </row>
    <row r="148" spans="23:38">
      <c r="W148" s="11"/>
      <c r="X148" s="12"/>
      <c r="Y148" s="11"/>
      <c r="Z148" s="12"/>
      <c r="AA148" s="11"/>
      <c r="AB148" s="12"/>
      <c r="AC148" s="11"/>
      <c r="AD148" s="12"/>
      <c r="AE148" s="11"/>
      <c r="AF148" s="12"/>
      <c r="AG148" s="11"/>
      <c r="AH148" s="12"/>
      <c r="AI148" s="11"/>
      <c r="AJ148" s="12"/>
      <c r="AK148" s="11"/>
      <c r="AL148" s="12"/>
    </row>
    <row r="149" spans="23:38">
      <c r="W149" s="11"/>
      <c r="X149" s="12"/>
      <c r="Y149" s="11"/>
      <c r="Z149" s="12"/>
      <c r="AA149" s="11"/>
      <c r="AB149" s="12"/>
      <c r="AC149" s="11"/>
      <c r="AD149" s="12"/>
      <c r="AE149" s="11"/>
      <c r="AF149" s="12"/>
      <c r="AG149" s="11"/>
      <c r="AH149" s="12"/>
      <c r="AI149" s="11"/>
      <c r="AJ149" s="12"/>
      <c r="AK149" s="11"/>
      <c r="AL149" s="12"/>
    </row>
    <row r="150" spans="23:38">
      <c r="W150" s="11"/>
      <c r="X150" s="12"/>
      <c r="Y150" s="11"/>
      <c r="Z150" s="12"/>
      <c r="AA150" s="11"/>
      <c r="AB150" s="12"/>
      <c r="AC150" s="11"/>
      <c r="AD150" s="12"/>
      <c r="AE150" s="11"/>
      <c r="AF150" s="12"/>
      <c r="AG150" s="11"/>
      <c r="AH150" s="12"/>
      <c r="AI150" s="11"/>
      <c r="AJ150" s="12"/>
      <c r="AK150" s="11"/>
      <c r="AL150" s="12"/>
    </row>
    <row r="151" spans="23:38">
      <c r="W151" s="11"/>
      <c r="X151" s="12"/>
      <c r="Y151" s="11"/>
      <c r="Z151" s="12"/>
      <c r="AA151" s="11"/>
      <c r="AB151" s="12"/>
      <c r="AC151" s="11"/>
      <c r="AD151" s="12"/>
      <c r="AE151" s="11"/>
      <c r="AF151" s="12"/>
      <c r="AG151" s="11"/>
      <c r="AH151" s="12"/>
      <c r="AI151" s="11"/>
      <c r="AJ151" s="12"/>
      <c r="AK151" s="11"/>
      <c r="AL151" s="12"/>
    </row>
    <row r="152" spans="23:38">
      <c r="W152" s="11"/>
      <c r="X152" s="12"/>
      <c r="Y152" s="11"/>
      <c r="Z152" s="12"/>
      <c r="AA152" s="11"/>
      <c r="AB152" s="12"/>
      <c r="AC152" s="11"/>
      <c r="AD152" s="12"/>
      <c r="AE152" s="11"/>
      <c r="AF152" s="12"/>
      <c r="AG152" s="11"/>
      <c r="AH152" s="12"/>
      <c r="AI152" s="11"/>
      <c r="AJ152" s="12"/>
      <c r="AK152" s="11"/>
      <c r="AL152" s="12"/>
    </row>
    <row r="153" spans="23:38">
      <c r="W153" s="11"/>
      <c r="X153" s="12"/>
      <c r="Y153" s="11"/>
      <c r="Z153" s="12"/>
      <c r="AA153" s="11"/>
      <c r="AB153" s="12"/>
      <c r="AC153" s="11"/>
      <c r="AD153" s="12"/>
      <c r="AE153" s="11"/>
      <c r="AF153" s="12"/>
      <c r="AG153" s="11"/>
      <c r="AH153" s="12"/>
      <c r="AI153" s="11"/>
      <c r="AJ153" s="12"/>
      <c r="AK153" s="11"/>
      <c r="AL153" s="12"/>
    </row>
    <row r="154" spans="23:38">
      <c r="W154" s="11"/>
      <c r="X154" s="12"/>
      <c r="Y154" s="11"/>
      <c r="Z154" s="12"/>
      <c r="AA154" s="11"/>
      <c r="AB154" s="12"/>
      <c r="AC154" s="11"/>
      <c r="AD154" s="12"/>
      <c r="AE154" s="11"/>
      <c r="AF154" s="12"/>
      <c r="AG154" s="11"/>
      <c r="AH154" s="12"/>
      <c r="AI154" s="11"/>
      <c r="AJ154" s="12"/>
      <c r="AK154" s="11"/>
      <c r="AL154" s="12"/>
    </row>
    <row r="155" spans="23:38">
      <c r="W155" s="11"/>
      <c r="X155" s="12"/>
      <c r="Y155" s="11"/>
      <c r="Z155" s="12"/>
      <c r="AA155" s="11"/>
      <c r="AB155" s="12"/>
      <c r="AC155" s="11"/>
      <c r="AD155" s="12"/>
      <c r="AE155" s="11"/>
      <c r="AF155" s="12"/>
      <c r="AG155" s="11"/>
      <c r="AH155" s="12"/>
      <c r="AI155" s="11"/>
      <c r="AJ155" s="12"/>
      <c r="AK155" s="11"/>
      <c r="AL155" s="12"/>
    </row>
    <row r="156" spans="23:38">
      <c r="W156" s="11"/>
      <c r="X156" s="12"/>
      <c r="Y156" s="11"/>
      <c r="Z156" s="12"/>
      <c r="AA156" s="11"/>
      <c r="AB156" s="12"/>
      <c r="AC156" s="11"/>
      <c r="AD156" s="12"/>
      <c r="AE156" s="11"/>
      <c r="AF156" s="12"/>
      <c r="AG156" s="11"/>
      <c r="AH156" s="12"/>
      <c r="AI156" s="11"/>
      <c r="AJ156" s="12"/>
      <c r="AK156" s="11"/>
      <c r="AL156" s="12"/>
    </row>
    <row r="157" spans="23:38">
      <c r="W157" s="11"/>
      <c r="X157" s="12"/>
      <c r="Y157" s="11"/>
      <c r="Z157" s="12"/>
      <c r="AA157" s="11"/>
      <c r="AB157" s="12"/>
      <c r="AC157" s="11"/>
      <c r="AD157" s="12"/>
      <c r="AE157" s="11"/>
      <c r="AF157" s="12"/>
      <c r="AG157" s="11"/>
      <c r="AH157" s="12"/>
      <c r="AI157" s="11"/>
      <c r="AJ157" s="12"/>
      <c r="AK157" s="11"/>
      <c r="AL157" s="12"/>
    </row>
    <row r="158" spans="23:38">
      <c r="W158" s="11"/>
      <c r="X158" s="12"/>
      <c r="Y158" s="11"/>
      <c r="Z158" s="12"/>
      <c r="AA158" s="11"/>
      <c r="AB158" s="12"/>
      <c r="AC158" s="11"/>
      <c r="AD158" s="12"/>
      <c r="AE158" s="11"/>
      <c r="AF158" s="12"/>
      <c r="AG158" s="11"/>
      <c r="AH158" s="12"/>
      <c r="AI158" s="11"/>
      <c r="AJ158" s="12"/>
      <c r="AK158" s="11"/>
      <c r="AL158" s="12"/>
    </row>
    <row r="159" spans="23:38">
      <c r="W159" s="11"/>
      <c r="X159" s="12"/>
      <c r="Y159" s="11"/>
      <c r="Z159" s="12"/>
      <c r="AA159" s="11"/>
      <c r="AB159" s="12"/>
      <c r="AC159" s="11"/>
      <c r="AD159" s="12"/>
      <c r="AE159" s="11"/>
      <c r="AF159" s="12"/>
      <c r="AG159" s="11"/>
      <c r="AH159" s="12"/>
      <c r="AI159" s="11"/>
      <c r="AJ159" s="12"/>
      <c r="AK159" s="11"/>
      <c r="AL159" s="12"/>
    </row>
    <row r="160" spans="23:38">
      <c r="W160" s="11"/>
      <c r="X160" s="12"/>
      <c r="Y160" s="11"/>
      <c r="Z160" s="12"/>
      <c r="AA160" s="11"/>
      <c r="AB160" s="12"/>
      <c r="AC160" s="11"/>
      <c r="AD160" s="12"/>
      <c r="AE160" s="11"/>
      <c r="AF160" s="12"/>
      <c r="AG160" s="11"/>
      <c r="AH160" s="12"/>
      <c r="AI160" s="11"/>
      <c r="AJ160" s="12"/>
      <c r="AK160" s="11"/>
      <c r="AL160" s="12"/>
    </row>
    <row r="161" spans="23:38">
      <c r="W161" s="11"/>
      <c r="X161" s="12"/>
      <c r="Y161" s="11"/>
      <c r="Z161" s="12"/>
      <c r="AA161" s="11"/>
      <c r="AB161" s="12"/>
      <c r="AC161" s="11"/>
      <c r="AD161" s="12"/>
      <c r="AE161" s="11"/>
      <c r="AF161" s="12"/>
      <c r="AG161" s="11"/>
      <c r="AH161" s="12"/>
      <c r="AI161" s="11"/>
      <c r="AJ161" s="12"/>
      <c r="AK161" s="11"/>
      <c r="AL161" s="12"/>
    </row>
    <row r="162" spans="23:38">
      <c r="W162" s="11"/>
      <c r="X162" s="12"/>
      <c r="Y162" s="11"/>
      <c r="Z162" s="12"/>
      <c r="AA162" s="11"/>
      <c r="AB162" s="12"/>
      <c r="AC162" s="11"/>
      <c r="AD162" s="12"/>
      <c r="AE162" s="11"/>
      <c r="AF162" s="12"/>
      <c r="AG162" s="11"/>
      <c r="AH162" s="12"/>
      <c r="AI162" s="11"/>
      <c r="AJ162" s="12"/>
      <c r="AK162" s="11"/>
      <c r="AL162" s="12"/>
    </row>
    <row r="163" spans="23:38">
      <c r="W163" s="11"/>
      <c r="X163" s="12"/>
      <c r="Y163" s="11"/>
      <c r="Z163" s="12"/>
      <c r="AA163" s="11"/>
      <c r="AB163" s="12"/>
      <c r="AC163" s="11"/>
      <c r="AD163" s="12"/>
      <c r="AE163" s="11"/>
      <c r="AF163" s="12"/>
      <c r="AG163" s="11"/>
      <c r="AH163" s="12"/>
      <c r="AI163" s="11"/>
      <c r="AJ163" s="12"/>
      <c r="AK163" s="11"/>
      <c r="AL163" s="12"/>
    </row>
    <row r="164" spans="23:38">
      <c r="W164" s="11"/>
      <c r="X164" s="12"/>
      <c r="Y164" s="11"/>
      <c r="Z164" s="12"/>
      <c r="AA164" s="11"/>
      <c r="AB164" s="12"/>
      <c r="AC164" s="11"/>
      <c r="AD164" s="12"/>
      <c r="AE164" s="11"/>
      <c r="AF164" s="12"/>
      <c r="AG164" s="11"/>
      <c r="AH164" s="12"/>
      <c r="AI164" s="11"/>
      <c r="AJ164" s="12"/>
      <c r="AK164" s="11"/>
      <c r="AL164" s="12"/>
    </row>
    <row r="165" spans="23:38">
      <c r="W165" s="11"/>
      <c r="X165" s="12"/>
      <c r="Y165" s="11"/>
      <c r="Z165" s="12"/>
      <c r="AA165" s="11"/>
      <c r="AB165" s="12"/>
      <c r="AC165" s="11"/>
      <c r="AD165" s="12"/>
      <c r="AE165" s="11"/>
      <c r="AF165" s="12"/>
      <c r="AG165" s="11"/>
      <c r="AH165" s="12"/>
      <c r="AI165" s="11"/>
      <c r="AJ165" s="12"/>
      <c r="AK165" s="11"/>
      <c r="AL165" s="12"/>
    </row>
    <row r="166" spans="23:38">
      <c r="AE166" s="13"/>
      <c r="AF166" s="13"/>
      <c r="AG166" s="13"/>
      <c r="AH166" s="13"/>
      <c r="AI166" s="13"/>
      <c r="AJ166" s="13"/>
      <c r="AK166" s="13"/>
      <c r="AL166" s="13"/>
    </row>
    <row r="167" spans="23:38">
      <c r="AE167" s="13"/>
      <c r="AF167" s="13"/>
      <c r="AG167" s="13"/>
      <c r="AH167" s="13"/>
      <c r="AI167" s="13"/>
      <c r="AJ167" s="13"/>
      <c r="AK167" s="13"/>
      <c r="AL167" s="13"/>
    </row>
    <row r="168" spans="23:38">
      <c r="AE168" s="13"/>
      <c r="AF168" s="13"/>
      <c r="AG168" s="13"/>
      <c r="AH168" s="13"/>
      <c r="AI168" s="13"/>
      <c r="AJ168" s="13"/>
      <c r="AK168" s="13"/>
      <c r="AL168" s="13"/>
    </row>
    <row r="169" spans="23:38">
      <c r="AE169" s="13"/>
      <c r="AF169" s="13"/>
      <c r="AG169" s="13"/>
      <c r="AH169" s="13"/>
      <c r="AI169" s="13"/>
      <c r="AJ169" s="13"/>
      <c r="AK169" s="13"/>
      <c r="AL169" s="13"/>
    </row>
    <row r="170" spans="23:38">
      <c r="AE170" s="13"/>
      <c r="AF170" s="13"/>
      <c r="AG170" s="13"/>
      <c r="AH170" s="13"/>
      <c r="AI170" s="13"/>
      <c r="AJ170" s="13"/>
      <c r="AK170" s="13"/>
      <c r="AL170" s="13"/>
    </row>
    <row r="171" spans="23:38">
      <c r="AE171" s="13"/>
      <c r="AF171" s="13"/>
      <c r="AG171" s="13"/>
      <c r="AH171" s="13"/>
      <c r="AI171" s="13"/>
      <c r="AJ171" s="13"/>
      <c r="AK171" s="13"/>
      <c r="AL171" s="13"/>
    </row>
    <row r="172" spans="23:38">
      <c r="AE172" s="13"/>
      <c r="AF172" s="13"/>
      <c r="AG172" s="13"/>
      <c r="AH172" s="13"/>
      <c r="AI172" s="13"/>
      <c r="AJ172" s="13"/>
      <c r="AK172" s="13"/>
      <c r="AL172" s="13"/>
    </row>
    <row r="173" spans="23:38">
      <c r="AE173" s="13"/>
      <c r="AF173" s="13"/>
      <c r="AG173" s="13"/>
      <c r="AH173" s="13"/>
      <c r="AI173" s="13"/>
      <c r="AJ173" s="13"/>
      <c r="AK173" s="13"/>
      <c r="AL173" s="13"/>
    </row>
    <row r="174" spans="23:38">
      <c r="AE174" s="13"/>
      <c r="AF174" s="13"/>
      <c r="AG174" s="13"/>
      <c r="AH174" s="13"/>
      <c r="AI174" s="13"/>
      <c r="AJ174" s="13"/>
      <c r="AK174" s="13"/>
      <c r="AL174" s="13"/>
    </row>
    <row r="175" spans="23:38">
      <c r="AE175" s="13"/>
      <c r="AF175" s="13"/>
      <c r="AG175" s="13"/>
      <c r="AH175" s="13"/>
      <c r="AI175" s="13"/>
      <c r="AJ175" s="13"/>
      <c r="AK175" s="13"/>
      <c r="AL175" s="13"/>
    </row>
    <row r="176" spans="23:38">
      <c r="AE176" s="13"/>
      <c r="AF176" s="13"/>
      <c r="AG176" s="13"/>
      <c r="AH176" s="13"/>
      <c r="AI176" s="13"/>
      <c r="AJ176" s="13"/>
      <c r="AK176" s="13"/>
      <c r="AL176" s="13"/>
    </row>
    <row r="177" spans="31:38">
      <c r="AE177" s="13"/>
      <c r="AF177" s="13"/>
      <c r="AG177" s="13"/>
      <c r="AH177" s="13"/>
      <c r="AI177" s="13"/>
      <c r="AJ177" s="13"/>
      <c r="AK177" s="13"/>
      <c r="AL177" s="13"/>
    </row>
    <row r="178" spans="31:38">
      <c r="AE178" s="13"/>
      <c r="AF178" s="13"/>
      <c r="AG178" s="13"/>
      <c r="AH178" s="13"/>
      <c r="AI178" s="13"/>
      <c r="AJ178" s="13"/>
      <c r="AK178" s="13"/>
      <c r="AL178" s="13"/>
    </row>
    <row r="179" spans="31:38">
      <c r="AE179" s="13"/>
      <c r="AF179" s="13"/>
      <c r="AG179" s="13"/>
      <c r="AH179" s="13"/>
      <c r="AI179" s="13"/>
      <c r="AJ179" s="13"/>
      <c r="AK179" s="13"/>
      <c r="AL179" s="13"/>
    </row>
    <row r="180" spans="31:38">
      <c r="AE180" s="13"/>
      <c r="AF180" s="13"/>
      <c r="AG180" s="13"/>
      <c r="AH180" s="13"/>
      <c r="AI180" s="13"/>
      <c r="AJ180" s="13"/>
      <c r="AK180" s="13"/>
      <c r="AL180" s="13"/>
    </row>
    <row r="181" spans="31:38">
      <c r="AE181" s="13"/>
      <c r="AF181" s="13"/>
      <c r="AG181" s="13"/>
      <c r="AH181" s="13"/>
      <c r="AI181" s="13"/>
      <c r="AJ181" s="13"/>
      <c r="AK181" s="13"/>
      <c r="AL181" s="13"/>
    </row>
    <row r="182" spans="31:38">
      <c r="AE182" s="13"/>
      <c r="AF182" s="13"/>
      <c r="AG182" s="13"/>
      <c r="AH182" s="13"/>
      <c r="AI182" s="13"/>
      <c r="AJ182" s="13"/>
      <c r="AK182" s="13"/>
      <c r="AL182" s="13"/>
    </row>
    <row r="183" spans="31:38">
      <c r="AE183" s="13"/>
      <c r="AF183" s="13"/>
      <c r="AG183" s="13"/>
      <c r="AH183" s="13"/>
      <c r="AI183" s="13"/>
      <c r="AJ183" s="13"/>
      <c r="AK183" s="13"/>
      <c r="AL183" s="13"/>
    </row>
    <row r="184" spans="31:38">
      <c r="AE184" s="13"/>
      <c r="AF184" s="13"/>
      <c r="AG184" s="13"/>
      <c r="AH184" s="13"/>
      <c r="AI184" s="13"/>
      <c r="AJ184" s="13"/>
      <c r="AK184" s="13"/>
      <c r="AL184" s="13"/>
    </row>
    <row r="185" spans="31:38">
      <c r="AE185" s="13"/>
      <c r="AF185" s="13"/>
      <c r="AG185" s="13"/>
      <c r="AH185" s="13"/>
      <c r="AI185" s="13"/>
      <c r="AJ185" s="13"/>
      <c r="AK185" s="13"/>
      <c r="AL185" s="13"/>
    </row>
    <row r="186" spans="31:38">
      <c r="AE186" s="13"/>
      <c r="AF186" s="13"/>
      <c r="AG186" s="13"/>
      <c r="AH186" s="13"/>
      <c r="AI186" s="13"/>
      <c r="AJ186" s="13"/>
      <c r="AK186" s="13"/>
      <c r="AL186" s="13"/>
    </row>
    <row r="187" spans="31:38">
      <c r="AE187" s="13"/>
      <c r="AF187" s="13"/>
      <c r="AG187" s="13"/>
      <c r="AH187" s="13"/>
      <c r="AI187" s="13"/>
      <c r="AJ187" s="13"/>
      <c r="AK187" s="13"/>
      <c r="AL187" s="13"/>
    </row>
    <row r="188" spans="31:38">
      <c r="AE188" s="13"/>
      <c r="AF188" s="13"/>
      <c r="AG188" s="13"/>
      <c r="AH188" s="13"/>
      <c r="AI188" s="13"/>
      <c r="AJ188" s="13"/>
      <c r="AK188" s="13"/>
      <c r="AL188" s="13"/>
    </row>
    <row r="189" spans="31:38">
      <c r="AE189" s="13"/>
      <c r="AF189" s="13"/>
      <c r="AG189" s="13"/>
      <c r="AH189" s="13"/>
      <c r="AI189" s="13"/>
      <c r="AJ189" s="13"/>
      <c r="AK189" s="13"/>
      <c r="AL189" s="13"/>
    </row>
    <row r="190" spans="31:38">
      <c r="AE190" s="13"/>
      <c r="AF190" s="13"/>
      <c r="AG190" s="13"/>
      <c r="AH190" s="13"/>
      <c r="AI190" s="13"/>
      <c r="AJ190" s="13"/>
      <c r="AK190" s="13"/>
      <c r="AL190" s="13"/>
    </row>
    <row r="191" spans="31:38">
      <c r="AE191" s="13"/>
      <c r="AF191" s="13"/>
      <c r="AG191" s="13"/>
      <c r="AH191" s="13"/>
      <c r="AI191" s="13"/>
      <c r="AJ191" s="13"/>
      <c r="AK191" s="13"/>
      <c r="AL191" s="13"/>
    </row>
    <row r="192" spans="31:38">
      <c r="AE192" s="13"/>
      <c r="AF192" s="13"/>
      <c r="AG192" s="13"/>
      <c r="AH192" s="13"/>
      <c r="AI192" s="13"/>
      <c r="AJ192" s="13"/>
      <c r="AK192" s="13"/>
      <c r="AL192" s="13"/>
    </row>
    <row r="193" spans="31:38">
      <c r="AE193" s="13"/>
      <c r="AF193" s="13"/>
      <c r="AG193" s="13"/>
      <c r="AH193" s="13"/>
      <c r="AI193" s="13"/>
      <c r="AJ193" s="13"/>
      <c r="AK193" s="13"/>
      <c r="AL193" s="13"/>
    </row>
    <row r="194" spans="31:38">
      <c r="AE194" s="13"/>
      <c r="AF194" s="13"/>
      <c r="AG194" s="13"/>
      <c r="AH194" s="13"/>
      <c r="AI194" s="13"/>
      <c r="AJ194" s="13"/>
      <c r="AK194" s="13"/>
      <c r="AL194" s="13"/>
    </row>
    <row r="195" spans="31:38">
      <c r="AE195" s="13"/>
      <c r="AF195" s="13"/>
      <c r="AG195" s="13"/>
      <c r="AH195" s="13"/>
      <c r="AI195" s="13"/>
      <c r="AJ195" s="13"/>
      <c r="AK195" s="13"/>
      <c r="AL195" s="13"/>
    </row>
    <row r="196" spans="31:38">
      <c r="AE196" s="13"/>
      <c r="AF196" s="13"/>
      <c r="AG196" s="13"/>
      <c r="AH196" s="13"/>
      <c r="AI196" s="13"/>
      <c r="AJ196" s="13"/>
      <c r="AK196" s="13"/>
      <c r="AL196" s="13"/>
    </row>
    <row r="197" spans="31:38">
      <c r="AE197" s="13"/>
      <c r="AF197" s="13"/>
      <c r="AG197" s="13"/>
      <c r="AH197" s="13"/>
      <c r="AI197" s="13"/>
      <c r="AJ197" s="13"/>
      <c r="AK197" s="13"/>
      <c r="AL197" s="13"/>
    </row>
    <row r="198" spans="31:38">
      <c r="AE198" s="13"/>
      <c r="AF198" s="13"/>
      <c r="AG198" s="13"/>
      <c r="AH198" s="13"/>
      <c r="AI198" s="13"/>
      <c r="AJ198" s="13"/>
      <c r="AK198" s="13"/>
      <c r="AL198" s="13"/>
    </row>
    <row r="199" spans="31:38">
      <c r="AE199" s="13"/>
      <c r="AF199" s="13"/>
      <c r="AG199" s="13"/>
      <c r="AH199" s="13"/>
      <c r="AI199" s="13"/>
      <c r="AJ199" s="13"/>
      <c r="AK199" s="13"/>
      <c r="AL199" s="13"/>
    </row>
    <row r="200" spans="31:38">
      <c r="AE200" s="13"/>
      <c r="AF200" s="13"/>
      <c r="AG200" s="13"/>
      <c r="AH200" s="13"/>
      <c r="AI200" s="13"/>
      <c r="AJ200" s="13"/>
      <c r="AK200" s="13"/>
      <c r="AL200" s="13"/>
    </row>
    <row r="201" spans="31:38">
      <c r="AE201" s="13"/>
      <c r="AF201" s="13"/>
      <c r="AG201" s="13"/>
      <c r="AH201" s="13"/>
      <c r="AI201" s="13"/>
      <c r="AJ201" s="13"/>
      <c r="AK201" s="13"/>
      <c r="AL201" s="13"/>
    </row>
    <row r="202" spans="31:38">
      <c r="AE202" s="13"/>
      <c r="AF202" s="13"/>
      <c r="AG202" s="13"/>
      <c r="AH202" s="13"/>
      <c r="AI202" s="13"/>
      <c r="AJ202" s="13"/>
      <c r="AK202" s="13"/>
      <c r="AL202" s="13"/>
    </row>
    <row r="203" spans="31:38">
      <c r="AE203" s="13"/>
      <c r="AF203" s="13"/>
      <c r="AG203" s="13"/>
      <c r="AH203" s="13"/>
      <c r="AI203" s="13"/>
      <c r="AJ203" s="13"/>
      <c r="AK203" s="13"/>
      <c r="AL203" s="13"/>
    </row>
    <row r="204" spans="31:38">
      <c r="AE204" s="13"/>
      <c r="AF204" s="13"/>
      <c r="AG204" s="13"/>
      <c r="AH204" s="13"/>
      <c r="AI204" s="13"/>
      <c r="AJ204" s="13"/>
      <c r="AK204" s="13"/>
      <c r="AL204" s="13"/>
    </row>
    <row r="205" spans="31:38">
      <c r="AE205" s="13"/>
      <c r="AF205" s="13"/>
      <c r="AG205" s="13"/>
      <c r="AH205" s="13"/>
      <c r="AI205" s="13"/>
      <c r="AJ205" s="13"/>
      <c r="AK205" s="13"/>
      <c r="AL205" s="13"/>
    </row>
    <row r="206" spans="31:38">
      <c r="AE206" s="13"/>
      <c r="AF206" s="13"/>
      <c r="AG206" s="13"/>
      <c r="AH206" s="13"/>
      <c r="AI206" s="13"/>
      <c r="AJ206" s="13"/>
      <c r="AK206" s="13"/>
      <c r="AL206" s="13"/>
    </row>
    <row r="207" spans="31:38">
      <c r="AE207" s="13"/>
      <c r="AF207" s="13"/>
      <c r="AG207" s="13"/>
      <c r="AH207" s="13"/>
      <c r="AI207" s="13"/>
      <c r="AJ207" s="13"/>
      <c r="AK207" s="13"/>
      <c r="AL207" s="13"/>
    </row>
    <row r="208" spans="31:38">
      <c r="AE208" s="13"/>
      <c r="AF208" s="13"/>
      <c r="AG208" s="13"/>
      <c r="AH208" s="13"/>
      <c r="AI208" s="13"/>
      <c r="AJ208" s="13"/>
      <c r="AK208" s="13"/>
      <c r="AL208" s="13"/>
    </row>
    <row r="209" spans="31:38">
      <c r="AE209" s="13"/>
      <c r="AF209" s="13"/>
      <c r="AG209" s="13"/>
      <c r="AH209" s="13"/>
      <c r="AI209" s="13"/>
      <c r="AJ209" s="13"/>
      <c r="AK209" s="13"/>
      <c r="AL209" s="13"/>
    </row>
    <row r="210" spans="31:38">
      <c r="AE210" s="13"/>
      <c r="AF210" s="13"/>
      <c r="AG210" s="13"/>
      <c r="AH210" s="13"/>
      <c r="AI210" s="13"/>
      <c r="AJ210" s="13"/>
      <c r="AK210" s="13"/>
      <c r="AL210" s="13"/>
    </row>
    <row r="211" spans="31:38">
      <c r="AE211" s="13"/>
      <c r="AF211" s="13"/>
      <c r="AG211" s="13"/>
      <c r="AH211" s="13"/>
      <c r="AI211" s="13"/>
      <c r="AJ211" s="13"/>
      <c r="AK211" s="13"/>
      <c r="AL211" s="13"/>
    </row>
    <row r="212" spans="31:38">
      <c r="AE212" s="13"/>
      <c r="AF212" s="13"/>
      <c r="AG212" s="13"/>
      <c r="AH212" s="13"/>
      <c r="AI212" s="13"/>
      <c r="AJ212" s="13"/>
      <c r="AK212" s="13"/>
      <c r="AL212" s="13"/>
    </row>
    <row r="213" spans="31:38">
      <c r="AE213" s="13"/>
      <c r="AF213" s="13"/>
      <c r="AG213" s="13"/>
      <c r="AH213" s="13"/>
      <c r="AI213" s="13"/>
      <c r="AJ213" s="13"/>
      <c r="AK213" s="13"/>
      <c r="AL213" s="13"/>
    </row>
    <row r="214" spans="31:38">
      <c r="AE214" s="13"/>
      <c r="AF214" s="13"/>
      <c r="AG214" s="13"/>
      <c r="AH214" s="13"/>
      <c r="AI214" s="13"/>
      <c r="AJ214" s="13"/>
      <c r="AK214" s="13"/>
      <c r="AL214" s="13"/>
    </row>
    <row r="215" spans="31:38">
      <c r="AE215" s="13"/>
      <c r="AF215" s="13"/>
      <c r="AG215" s="13"/>
      <c r="AH215" s="13"/>
      <c r="AI215" s="13"/>
      <c r="AJ215" s="13"/>
      <c r="AK215" s="13"/>
      <c r="AL215" s="13"/>
    </row>
    <row r="216" spans="31:38">
      <c r="AE216" s="13"/>
      <c r="AF216" s="13"/>
      <c r="AG216" s="13"/>
      <c r="AH216" s="13"/>
      <c r="AI216" s="13"/>
      <c r="AJ216" s="13"/>
      <c r="AK216" s="13"/>
      <c r="AL216" s="13"/>
    </row>
    <row r="217" spans="31:38">
      <c r="AE217" s="13"/>
      <c r="AF217" s="13"/>
      <c r="AG217" s="13"/>
      <c r="AH217" s="13"/>
      <c r="AI217" s="13"/>
      <c r="AJ217" s="13"/>
      <c r="AK217" s="13"/>
      <c r="AL217" s="13"/>
    </row>
    <row r="218" spans="31:38">
      <c r="AE218" s="13"/>
      <c r="AF218" s="13"/>
      <c r="AG218" s="13"/>
      <c r="AH218" s="13"/>
      <c r="AI218" s="13"/>
      <c r="AJ218" s="13"/>
      <c r="AK218" s="13"/>
      <c r="AL218" s="13"/>
    </row>
    <row r="219" spans="31:38">
      <c r="AE219" s="13"/>
      <c r="AF219" s="13"/>
      <c r="AG219" s="13"/>
      <c r="AH219" s="13"/>
      <c r="AI219" s="13"/>
      <c r="AJ219" s="13"/>
      <c r="AK219" s="13"/>
      <c r="AL219" s="13"/>
    </row>
    <row r="220" spans="31:38">
      <c r="AE220" s="13"/>
      <c r="AF220" s="13"/>
      <c r="AG220" s="13"/>
      <c r="AH220" s="13"/>
      <c r="AI220" s="13"/>
      <c r="AJ220" s="13"/>
      <c r="AK220" s="13"/>
      <c r="AL220" s="13"/>
    </row>
    <row r="221" spans="31:38">
      <c r="AE221" s="13"/>
      <c r="AF221" s="13"/>
      <c r="AG221" s="13"/>
      <c r="AH221" s="13"/>
      <c r="AI221" s="13"/>
      <c r="AJ221" s="13"/>
      <c r="AK221" s="13"/>
      <c r="AL221" s="13"/>
    </row>
    <row r="222" spans="31:38">
      <c r="AE222" s="13"/>
      <c r="AF222" s="13"/>
      <c r="AG222" s="13"/>
      <c r="AH222" s="13"/>
      <c r="AI222" s="13"/>
      <c r="AJ222" s="13"/>
      <c r="AK222" s="13"/>
      <c r="AL222" s="13"/>
    </row>
    <row r="223" spans="31:38">
      <c r="AE223" s="13"/>
      <c r="AF223" s="13"/>
      <c r="AG223" s="13"/>
      <c r="AH223" s="13"/>
      <c r="AI223" s="13"/>
      <c r="AJ223" s="13"/>
      <c r="AK223" s="13"/>
      <c r="AL223" s="13"/>
    </row>
    <row r="224" spans="31:38">
      <c r="AE224" s="13"/>
      <c r="AF224" s="13"/>
      <c r="AG224" s="13"/>
      <c r="AH224" s="13"/>
      <c r="AI224" s="13"/>
      <c r="AJ224" s="13"/>
      <c r="AK224" s="13"/>
      <c r="AL224" s="13"/>
    </row>
    <row r="225" spans="31:38">
      <c r="AE225" s="13"/>
      <c r="AF225" s="13"/>
      <c r="AG225" s="13"/>
      <c r="AH225" s="13"/>
      <c r="AI225" s="13"/>
      <c r="AJ225" s="13"/>
      <c r="AK225" s="13"/>
      <c r="AL225" s="13"/>
    </row>
    <row r="226" spans="31:38">
      <c r="AE226" s="13"/>
      <c r="AF226" s="13"/>
      <c r="AG226" s="13"/>
      <c r="AH226" s="13"/>
      <c r="AI226" s="13"/>
      <c r="AJ226" s="13"/>
      <c r="AK226" s="13"/>
      <c r="AL226" s="13"/>
    </row>
    <row r="227" spans="31:38">
      <c r="AE227" s="13"/>
      <c r="AF227" s="13"/>
      <c r="AG227" s="13"/>
      <c r="AH227" s="13"/>
      <c r="AI227" s="13"/>
      <c r="AJ227" s="13"/>
      <c r="AK227" s="13"/>
      <c r="AL227" s="13"/>
    </row>
    <row r="228" spans="31:38">
      <c r="AE228" s="13"/>
      <c r="AF228" s="13"/>
      <c r="AG228" s="13"/>
      <c r="AH228" s="13"/>
      <c r="AI228" s="13"/>
      <c r="AJ228" s="13"/>
      <c r="AK228" s="13"/>
      <c r="AL228" s="13"/>
    </row>
    <row r="229" spans="31:38">
      <c r="AE229" s="13"/>
      <c r="AF229" s="13"/>
      <c r="AG229" s="13"/>
      <c r="AH229" s="13"/>
      <c r="AI229" s="13"/>
      <c r="AJ229" s="13"/>
      <c r="AK229" s="13"/>
      <c r="AL229" s="13"/>
    </row>
    <row r="230" spans="31:38">
      <c r="AE230" s="13"/>
      <c r="AF230" s="13"/>
      <c r="AG230" s="13"/>
      <c r="AH230" s="13"/>
      <c r="AI230" s="13"/>
      <c r="AJ230" s="13"/>
      <c r="AK230" s="13"/>
      <c r="AL230" s="13"/>
    </row>
    <row r="231" spans="31:38">
      <c r="AE231" s="13"/>
      <c r="AF231" s="13"/>
      <c r="AG231" s="13"/>
      <c r="AH231" s="13"/>
      <c r="AI231" s="13"/>
      <c r="AJ231" s="13"/>
      <c r="AK231" s="13"/>
      <c r="AL231" s="13"/>
    </row>
    <row r="232" spans="31:38">
      <c r="AE232" s="13"/>
      <c r="AF232" s="13"/>
      <c r="AG232" s="13"/>
      <c r="AH232" s="13"/>
      <c r="AI232" s="13"/>
      <c r="AJ232" s="13"/>
      <c r="AK232" s="13"/>
      <c r="AL232" s="13"/>
    </row>
    <row r="233" spans="31:38">
      <c r="AE233" s="13"/>
      <c r="AF233" s="13"/>
      <c r="AG233" s="13"/>
      <c r="AH233" s="13"/>
      <c r="AI233" s="13"/>
      <c r="AJ233" s="13"/>
      <c r="AK233" s="13"/>
      <c r="AL233" s="13"/>
    </row>
    <row r="234" spans="31:38">
      <c r="AE234" s="13"/>
      <c r="AF234" s="13"/>
      <c r="AG234" s="13"/>
      <c r="AH234" s="13"/>
      <c r="AI234" s="13"/>
      <c r="AJ234" s="13"/>
      <c r="AK234" s="13"/>
      <c r="AL234" s="13"/>
    </row>
    <row r="235" spans="31:38">
      <c r="AE235" s="13"/>
      <c r="AF235" s="13"/>
      <c r="AG235" s="13"/>
      <c r="AH235" s="13"/>
      <c r="AI235" s="13"/>
      <c r="AJ235" s="13"/>
      <c r="AK235" s="13"/>
      <c r="AL235" s="13"/>
    </row>
    <row r="236" spans="31:38">
      <c r="AE236" s="13"/>
      <c r="AF236" s="13"/>
      <c r="AG236" s="13"/>
      <c r="AH236" s="13"/>
      <c r="AI236" s="13"/>
      <c r="AJ236" s="13"/>
      <c r="AK236" s="13"/>
      <c r="AL236" s="13"/>
    </row>
    <row r="237" spans="31:38">
      <c r="AE237" s="13"/>
      <c r="AF237" s="13"/>
      <c r="AG237" s="13"/>
      <c r="AH237" s="13"/>
      <c r="AI237" s="13"/>
      <c r="AJ237" s="13"/>
      <c r="AK237" s="13"/>
      <c r="AL237" s="13"/>
    </row>
    <row r="238" spans="31:38">
      <c r="AE238" s="13"/>
      <c r="AF238" s="13"/>
      <c r="AG238" s="13"/>
      <c r="AH238" s="13"/>
      <c r="AI238" s="13"/>
      <c r="AJ238" s="13"/>
      <c r="AK238" s="13"/>
      <c r="AL238" s="13"/>
    </row>
    <row r="239" spans="31:38">
      <c r="AE239" s="13"/>
      <c r="AF239" s="13"/>
      <c r="AG239" s="13"/>
      <c r="AH239" s="13"/>
      <c r="AI239" s="13"/>
      <c r="AJ239" s="13"/>
      <c r="AK239" s="13"/>
      <c r="AL239" s="13"/>
    </row>
    <row r="240" spans="31:38">
      <c r="AE240" s="13"/>
      <c r="AF240" s="13"/>
      <c r="AG240" s="13"/>
      <c r="AH240" s="13"/>
      <c r="AI240" s="13"/>
      <c r="AJ240" s="13"/>
      <c r="AK240" s="13"/>
      <c r="AL240" s="13"/>
    </row>
    <row r="241" spans="31:38">
      <c r="AE241" s="13"/>
      <c r="AF241" s="13"/>
      <c r="AG241" s="13"/>
      <c r="AH241" s="13"/>
      <c r="AI241" s="13"/>
      <c r="AJ241" s="13"/>
      <c r="AK241" s="13"/>
      <c r="AL241" s="13"/>
    </row>
    <row r="242" spans="31:38">
      <c r="AE242" s="13"/>
      <c r="AF242" s="13"/>
      <c r="AG242" s="13"/>
      <c r="AH242" s="13"/>
      <c r="AI242" s="13"/>
      <c r="AJ242" s="13"/>
      <c r="AK242" s="13"/>
      <c r="AL242" s="13"/>
    </row>
    <row r="243" spans="31:38">
      <c r="AE243" s="13"/>
      <c r="AF243" s="13"/>
      <c r="AG243" s="13"/>
      <c r="AH243" s="13"/>
      <c r="AI243" s="13"/>
      <c r="AJ243" s="13"/>
      <c r="AK243" s="13"/>
      <c r="AL243" s="13"/>
    </row>
    <row r="244" spans="31:38">
      <c r="AE244" s="13"/>
      <c r="AF244" s="13"/>
      <c r="AG244" s="13"/>
      <c r="AH244" s="13"/>
      <c r="AI244" s="13"/>
      <c r="AJ244" s="13"/>
      <c r="AK244" s="13"/>
      <c r="AL244" s="13"/>
    </row>
    <row r="245" spans="31:38">
      <c r="AE245" s="13"/>
      <c r="AF245" s="13"/>
      <c r="AG245" s="13"/>
      <c r="AH245" s="13"/>
      <c r="AI245" s="13"/>
      <c r="AJ245" s="13"/>
      <c r="AK245" s="13"/>
      <c r="AL245" s="13"/>
    </row>
    <row r="246" spans="31:38">
      <c r="AE246" s="13"/>
      <c r="AF246" s="13"/>
      <c r="AG246" s="13"/>
      <c r="AH246" s="13"/>
      <c r="AI246" s="13"/>
      <c r="AJ246" s="13"/>
      <c r="AK246" s="13"/>
      <c r="AL246" s="13"/>
    </row>
    <row r="247" spans="31:38">
      <c r="AE247" s="13"/>
      <c r="AF247" s="13"/>
      <c r="AG247" s="13"/>
      <c r="AH247" s="13"/>
      <c r="AI247" s="13"/>
      <c r="AJ247" s="13"/>
      <c r="AK247" s="13"/>
      <c r="AL247" s="13"/>
    </row>
    <row r="248" spans="31:38">
      <c r="AE248" s="13"/>
      <c r="AF248" s="13"/>
      <c r="AG248" s="13"/>
      <c r="AH248" s="13"/>
      <c r="AI248" s="13"/>
      <c r="AJ248" s="13"/>
      <c r="AK248" s="13"/>
      <c r="AL248" s="13"/>
    </row>
    <row r="249" spans="31:38">
      <c r="AE249" s="13"/>
      <c r="AF249" s="13"/>
      <c r="AG249" s="13"/>
      <c r="AH249" s="13"/>
      <c r="AI249" s="13"/>
      <c r="AJ249" s="13"/>
      <c r="AK249" s="13"/>
      <c r="AL249" s="13"/>
    </row>
    <row r="250" spans="31:38">
      <c r="AE250" s="13"/>
      <c r="AF250" s="13"/>
      <c r="AG250" s="13"/>
      <c r="AH250" s="13"/>
      <c r="AI250" s="13"/>
      <c r="AJ250" s="13"/>
      <c r="AK250" s="13"/>
      <c r="AL250" s="13"/>
    </row>
    <row r="251" spans="31:38">
      <c r="AE251" s="13"/>
      <c r="AF251" s="13"/>
      <c r="AG251" s="13"/>
      <c r="AH251" s="13"/>
      <c r="AI251" s="13"/>
      <c r="AJ251" s="13"/>
      <c r="AK251" s="13"/>
      <c r="AL251" s="13"/>
    </row>
    <row r="252" spans="31:38">
      <c r="AE252" s="13"/>
      <c r="AF252" s="13"/>
      <c r="AG252" s="13"/>
      <c r="AH252" s="13"/>
      <c r="AI252" s="13"/>
      <c r="AJ252" s="13"/>
      <c r="AK252" s="13"/>
      <c r="AL252" s="13"/>
    </row>
    <row r="253" spans="31:38">
      <c r="AE253" s="13"/>
      <c r="AF253" s="13"/>
      <c r="AG253" s="13"/>
      <c r="AH253" s="13"/>
      <c r="AI253" s="13"/>
      <c r="AJ253" s="13"/>
      <c r="AK253" s="13"/>
      <c r="AL253" s="13"/>
    </row>
    <row r="254" spans="31:38">
      <c r="AE254" s="13"/>
      <c r="AF254" s="13"/>
      <c r="AG254" s="13"/>
      <c r="AH254" s="13"/>
      <c r="AI254" s="13"/>
      <c r="AJ254" s="13"/>
      <c r="AK254" s="13"/>
      <c r="AL254" s="13"/>
    </row>
    <row r="255" spans="31:38">
      <c r="AE255" s="13"/>
      <c r="AF255" s="13"/>
      <c r="AG255" s="13"/>
      <c r="AH255" s="13"/>
      <c r="AI255" s="13"/>
      <c r="AJ255" s="13"/>
      <c r="AK255" s="13"/>
      <c r="AL255" s="13"/>
    </row>
    <row r="256" spans="31:38">
      <c r="AE256" s="13"/>
      <c r="AF256" s="13"/>
      <c r="AG256" s="13"/>
      <c r="AH256" s="13"/>
      <c r="AI256" s="13"/>
      <c r="AJ256" s="13"/>
      <c r="AK256" s="13"/>
      <c r="AL256" s="13"/>
    </row>
    <row r="257" spans="31:38">
      <c r="AE257" s="13"/>
      <c r="AF257" s="13"/>
      <c r="AG257" s="13"/>
      <c r="AH257" s="13"/>
      <c r="AI257" s="13"/>
      <c r="AJ257" s="13"/>
      <c r="AK257" s="13"/>
      <c r="AL257" s="13"/>
    </row>
    <row r="258" spans="31:38">
      <c r="AE258" s="13"/>
      <c r="AF258" s="13"/>
      <c r="AG258" s="13"/>
      <c r="AH258" s="13"/>
      <c r="AI258" s="13"/>
      <c r="AJ258" s="13"/>
      <c r="AK258" s="13"/>
      <c r="AL258" s="13"/>
    </row>
    <row r="259" spans="31:38">
      <c r="AE259" s="13"/>
      <c r="AF259" s="13"/>
      <c r="AG259" s="13"/>
      <c r="AH259" s="13"/>
      <c r="AI259" s="13"/>
      <c r="AJ259" s="13"/>
      <c r="AK259" s="13"/>
      <c r="AL259" s="13"/>
    </row>
    <row r="260" spans="31:38">
      <c r="AE260" s="13"/>
      <c r="AF260" s="13"/>
      <c r="AG260" s="13"/>
      <c r="AH260" s="13"/>
      <c r="AI260" s="13"/>
      <c r="AJ260" s="13"/>
      <c r="AK260" s="13"/>
      <c r="AL260" s="13"/>
    </row>
    <row r="261" spans="31:38">
      <c r="AE261" s="13"/>
      <c r="AF261" s="13"/>
      <c r="AG261" s="13"/>
      <c r="AH261" s="13"/>
      <c r="AI261" s="13"/>
      <c r="AJ261" s="13"/>
      <c r="AK261" s="13"/>
      <c r="AL261" s="13"/>
    </row>
    <row r="262" spans="31:38">
      <c r="AE262" s="13"/>
      <c r="AF262" s="13"/>
      <c r="AG262" s="13"/>
      <c r="AH262" s="13"/>
      <c r="AI262" s="13"/>
      <c r="AJ262" s="13"/>
      <c r="AK262" s="13"/>
      <c r="AL262" s="13"/>
    </row>
    <row r="263" spans="31:38">
      <c r="AE263" s="13"/>
      <c r="AF263" s="13"/>
      <c r="AG263" s="13"/>
      <c r="AH263" s="13"/>
      <c r="AI263" s="13"/>
      <c r="AJ263" s="13"/>
      <c r="AK263" s="13"/>
      <c r="AL263" s="13"/>
    </row>
    <row r="264" spans="31:38">
      <c r="AE264" s="13"/>
      <c r="AF264" s="13"/>
      <c r="AG264" s="13"/>
      <c r="AH264" s="13"/>
      <c r="AI264" s="13"/>
      <c r="AJ264" s="13"/>
      <c r="AK264" s="13"/>
      <c r="AL264" s="13"/>
    </row>
    <row r="265" spans="31:38">
      <c r="AE265" s="13"/>
      <c r="AF265" s="13"/>
      <c r="AG265" s="13"/>
      <c r="AH265" s="13"/>
      <c r="AI265" s="13"/>
      <c r="AJ265" s="13"/>
      <c r="AK265" s="13"/>
      <c r="AL265" s="13"/>
    </row>
    <row r="266" spans="31:38">
      <c r="AE266" s="13"/>
      <c r="AF266" s="13"/>
      <c r="AG266" s="13"/>
      <c r="AH266" s="13"/>
      <c r="AI266" s="13"/>
      <c r="AJ266" s="13"/>
      <c r="AK266" s="13"/>
      <c r="AL266" s="13"/>
    </row>
    <row r="267" spans="31:38">
      <c r="AE267" s="13"/>
      <c r="AF267" s="13"/>
      <c r="AG267" s="13"/>
      <c r="AH267" s="13"/>
      <c r="AI267" s="13"/>
      <c r="AJ267" s="13"/>
      <c r="AK267" s="13"/>
      <c r="AL267" s="13"/>
    </row>
    <row r="268" spans="31:38">
      <c r="AE268" s="13"/>
      <c r="AF268" s="13"/>
      <c r="AG268" s="13"/>
      <c r="AH268" s="13"/>
      <c r="AI268" s="13"/>
      <c r="AJ268" s="13"/>
      <c r="AK268" s="13"/>
      <c r="AL268" s="13"/>
    </row>
    <row r="269" spans="31:38">
      <c r="AE269" s="13"/>
      <c r="AF269" s="13"/>
      <c r="AG269" s="13"/>
      <c r="AH269" s="13"/>
      <c r="AI269" s="13"/>
      <c r="AJ269" s="13"/>
      <c r="AK269" s="13"/>
      <c r="AL269" s="13"/>
    </row>
    <row r="270" spans="31:38">
      <c r="AE270" s="13"/>
      <c r="AF270" s="13"/>
      <c r="AG270" s="13"/>
      <c r="AH270" s="13"/>
      <c r="AI270" s="13"/>
      <c r="AJ270" s="13"/>
      <c r="AK270" s="13"/>
      <c r="AL270" s="13"/>
    </row>
    <row r="271" spans="31:38">
      <c r="AE271" s="13"/>
      <c r="AF271" s="13"/>
      <c r="AG271" s="13"/>
      <c r="AH271" s="13"/>
      <c r="AI271" s="13"/>
      <c r="AJ271" s="13"/>
      <c r="AK271" s="13"/>
      <c r="AL271" s="13"/>
    </row>
    <row r="272" spans="31:38">
      <c r="AE272" s="13"/>
      <c r="AF272" s="13"/>
      <c r="AG272" s="13"/>
      <c r="AH272" s="13"/>
      <c r="AI272" s="13"/>
      <c r="AJ272" s="13"/>
      <c r="AK272" s="13"/>
      <c r="AL272" s="13"/>
    </row>
    <row r="273" spans="31:38">
      <c r="AE273" s="13"/>
      <c r="AF273" s="13"/>
      <c r="AG273" s="13"/>
      <c r="AH273" s="13"/>
      <c r="AI273" s="13"/>
      <c r="AJ273" s="13"/>
      <c r="AK273" s="13"/>
      <c r="AL273" s="13"/>
    </row>
    <row r="274" spans="31:38">
      <c r="AE274" s="13"/>
      <c r="AF274" s="13"/>
      <c r="AG274" s="13"/>
      <c r="AH274" s="13"/>
      <c r="AI274" s="13"/>
      <c r="AJ274" s="13"/>
      <c r="AK274" s="13"/>
      <c r="AL274" s="13"/>
    </row>
    <row r="275" spans="31:38">
      <c r="AE275" s="13"/>
      <c r="AF275" s="13"/>
      <c r="AG275" s="13"/>
      <c r="AH275" s="13"/>
      <c r="AI275" s="13"/>
      <c r="AJ275" s="13"/>
      <c r="AK275" s="13"/>
      <c r="AL275" s="13"/>
    </row>
    <row r="276" spans="31:38">
      <c r="AE276" s="13"/>
      <c r="AF276" s="13"/>
      <c r="AG276" s="13"/>
      <c r="AH276" s="13"/>
      <c r="AI276" s="13"/>
      <c r="AJ276" s="13"/>
      <c r="AK276" s="13"/>
      <c r="AL276" s="13"/>
    </row>
    <row r="277" spans="31:38">
      <c r="AE277" s="13"/>
      <c r="AF277" s="13"/>
      <c r="AG277" s="13"/>
      <c r="AH277" s="13"/>
      <c r="AI277" s="13"/>
      <c r="AJ277" s="13"/>
      <c r="AK277" s="13"/>
      <c r="AL277" s="13"/>
    </row>
    <row r="278" spans="31:38">
      <c r="AE278" s="13"/>
      <c r="AF278" s="13"/>
      <c r="AG278" s="13"/>
      <c r="AH278" s="13"/>
      <c r="AI278" s="13"/>
      <c r="AJ278" s="13"/>
      <c r="AK278" s="13"/>
      <c r="AL278" s="13"/>
    </row>
    <row r="279" spans="31:38">
      <c r="AE279" s="13"/>
      <c r="AF279" s="13"/>
      <c r="AG279" s="13"/>
      <c r="AH279" s="13"/>
      <c r="AI279" s="13"/>
      <c r="AJ279" s="13"/>
      <c r="AK279" s="13"/>
      <c r="AL279" s="13"/>
    </row>
    <row r="280" spans="31:38">
      <c r="AE280" s="13"/>
      <c r="AF280" s="13"/>
      <c r="AG280" s="13"/>
      <c r="AH280" s="13"/>
      <c r="AI280" s="13"/>
      <c r="AJ280" s="13"/>
      <c r="AK280" s="13"/>
      <c r="AL280" s="13"/>
    </row>
    <row r="281" spans="31:38">
      <c r="AE281" s="13"/>
      <c r="AF281" s="13"/>
      <c r="AG281" s="13"/>
      <c r="AH281" s="13"/>
      <c r="AI281" s="13"/>
      <c r="AJ281" s="13"/>
      <c r="AK281" s="13"/>
      <c r="AL281" s="13"/>
    </row>
    <row r="282" spans="31:38">
      <c r="AE282" s="13"/>
      <c r="AF282" s="13"/>
      <c r="AG282" s="13"/>
      <c r="AH282" s="13"/>
      <c r="AI282" s="13"/>
      <c r="AJ282" s="13"/>
      <c r="AK282" s="13"/>
      <c r="AL282" s="13"/>
    </row>
    <row r="283" spans="31:38">
      <c r="AE283" s="13"/>
      <c r="AF283" s="13"/>
      <c r="AG283" s="13"/>
      <c r="AH283" s="13"/>
      <c r="AI283" s="13"/>
      <c r="AJ283" s="13"/>
      <c r="AK283" s="13"/>
      <c r="AL283" s="13"/>
    </row>
    <row r="284" spans="31:38">
      <c r="AE284" s="13"/>
      <c r="AF284" s="13"/>
      <c r="AG284" s="13"/>
      <c r="AH284" s="13"/>
      <c r="AI284" s="13"/>
      <c r="AJ284" s="13"/>
      <c r="AK284" s="13"/>
      <c r="AL284" s="13"/>
    </row>
    <row r="285" spans="31:38">
      <c r="AE285" s="13"/>
      <c r="AF285" s="13"/>
      <c r="AG285" s="13"/>
      <c r="AH285" s="13"/>
      <c r="AI285" s="13"/>
      <c r="AJ285" s="13"/>
      <c r="AK285" s="13"/>
      <c r="AL285" s="13"/>
    </row>
    <row r="286" spans="31:38">
      <c r="AE286" s="13"/>
      <c r="AF286" s="13"/>
      <c r="AG286" s="13"/>
      <c r="AH286" s="13"/>
      <c r="AI286" s="13"/>
      <c r="AJ286" s="13"/>
      <c r="AK286" s="13"/>
      <c r="AL286" s="13"/>
    </row>
    <row r="287" spans="31:38">
      <c r="AE287" s="13"/>
      <c r="AF287" s="13"/>
      <c r="AG287" s="13"/>
      <c r="AH287" s="13"/>
      <c r="AI287" s="13"/>
      <c r="AJ287" s="13"/>
      <c r="AK287" s="13"/>
      <c r="AL287" s="13"/>
    </row>
    <row r="288" spans="31:38">
      <c r="AE288" s="13"/>
      <c r="AF288" s="13"/>
      <c r="AG288" s="13"/>
      <c r="AH288" s="13"/>
      <c r="AI288" s="13"/>
      <c r="AJ288" s="13"/>
      <c r="AK288" s="13"/>
      <c r="AL288" s="13"/>
    </row>
    <row r="289" spans="31:38">
      <c r="AE289" s="13"/>
      <c r="AF289" s="13"/>
      <c r="AG289" s="13"/>
      <c r="AH289" s="13"/>
      <c r="AI289" s="13"/>
      <c r="AJ289" s="13"/>
      <c r="AK289" s="13"/>
      <c r="AL289" s="13"/>
    </row>
    <row r="290" spans="31:38">
      <c r="AE290" s="13"/>
      <c r="AF290" s="13"/>
      <c r="AG290" s="13"/>
      <c r="AH290" s="13"/>
      <c r="AI290" s="13"/>
      <c r="AJ290" s="13"/>
      <c r="AK290" s="13"/>
      <c r="AL290" s="13"/>
    </row>
    <row r="291" spans="31:38">
      <c r="AE291" s="13"/>
      <c r="AF291" s="13"/>
      <c r="AG291" s="13"/>
      <c r="AH291" s="13"/>
      <c r="AI291" s="13"/>
      <c r="AJ291" s="13"/>
      <c r="AK291" s="13"/>
      <c r="AL291" s="13"/>
    </row>
    <row r="292" spans="31:38">
      <c r="AE292" s="13"/>
      <c r="AF292" s="13"/>
      <c r="AG292" s="13"/>
      <c r="AH292" s="13"/>
      <c r="AI292" s="13"/>
      <c r="AJ292" s="13"/>
      <c r="AK292" s="13"/>
      <c r="AL292" s="13"/>
    </row>
    <row r="293" spans="31:38">
      <c r="AE293" s="13"/>
      <c r="AF293" s="13"/>
      <c r="AG293" s="13"/>
      <c r="AH293" s="13"/>
      <c r="AI293" s="13"/>
      <c r="AJ293" s="13"/>
      <c r="AK293" s="13"/>
      <c r="AL293" s="13"/>
    </row>
    <row r="294" spans="31:38">
      <c r="AE294" s="13"/>
      <c r="AF294" s="13"/>
      <c r="AG294" s="13"/>
      <c r="AH294" s="13"/>
      <c r="AI294" s="13"/>
      <c r="AJ294" s="13"/>
      <c r="AK294" s="13"/>
      <c r="AL294" s="13"/>
    </row>
    <row r="295" spans="31:38">
      <c r="AE295" s="13"/>
      <c r="AF295" s="13"/>
      <c r="AG295" s="13"/>
      <c r="AH295" s="13"/>
      <c r="AI295" s="13"/>
      <c r="AJ295" s="13"/>
      <c r="AK295" s="13"/>
      <c r="AL295" s="13"/>
    </row>
    <row r="296" spans="31:38">
      <c r="AE296" s="13"/>
      <c r="AF296" s="13"/>
      <c r="AG296" s="13"/>
      <c r="AH296" s="13"/>
      <c r="AI296" s="13"/>
      <c r="AJ296" s="13"/>
      <c r="AK296" s="13"/>
      <c r="AL296" s="13"/>
    </row>
    <row r="297" spans="31:38">
      <c r="AE297" s="13"/>
      <c r="AF297" s="13"/>
      <c r="AG297" s="13"/>
      <c r="AH297" s="13"/>
      <c r="AI297" s="13"/>
      <c r="AJ297" s="13"/>
      <c r="AK297" s="13"/>
      <c r="AL297" s="13"/>
    </row>
    <row r="298" spans="31:38">
      <c r="AE298" s="13"/>
      <c r="AF298" s="13"/>
      <c r="AG298" s="13"/>
      <c r="AH298" s="13"/>
      <c r="AI298" s="13"/>
      <c r="AJ298" s="13"/>
      <c r="AK298" s="13"/>
      <c r="AL298" s="13"/>
    </row>
    <row r="299" spans="31:38">
      <c r="AE299" s="13"/>
      <c r="AF299" s="13"/>
      <c r="AG299" s="13"/>
      <c r="AH299" s="13"/>
      <c r="AI299" s="13"/>
      <c r="AJ299" s="13"/>
      <c r="AK299" s="13"/>
      <c r="AL299" s="13"/>
    </row>
    <row r="300" spans="31:38">
      <c r="AE300" s="13"/>
      <c r="AF300" s="13"/>
      <c r="AG300" s="13"/>
      <c r="AH300" s="13"/>
      <c r="AI300" s="13"/>
      <c r="AJ300" s="13"/>
      <c r="AK300" s="13"/>
      <c r="AL300" s="13"/>
    </row>
    <row r="301" spans="31:38">
      <c r="AE301" s="13"/>
      <c r="AF301" s="13"/>
      <c r="AG301" s="13"/>
      <c r="AH301" s="13"/>
      <c r="AI301" s="13"/>
      <c r="AJ301" s="13"/>
      <c r="AK301" s="13"/>
      <c r="AL301" s="13"/>
    </row>
    <row r="302" spans="31:38">
      <c r="AE302" s="13"/>
      <c r="AF302" s="13"/>
      <c r="AG302" s="13"/>
      <c r="AH302" s="13"/>
      <c r="AI302" s="13"/>
      <c r="AJ302" s="13"/>
      <c r="AK302" s="13"/>
      <c r="AL302" s="13"/>
    </row>
    <row r="303" spans="31:38">
      <c r="AE303" s="13"/>
      <c r="AF303" s="13"/>
      <c r="AG303" s="13"/>
      <c r="AH303" s="13"/>
      <c r="AI303" s="13"/>
      <c r="AJ303" s="13"/>
      <c r="AK303" s="13"/>
      <c r="AL303" s="13"/>
    </row>
    <row r="304" spans="31:38">
      <c r="AE304" s="13"/>
      <c r="AF304" s="13"/>
      <c r="AG304" s="13"/>
      <c r="AH304" s="13"/>
      <c r="AI304" s="13"/>
      <c r="AJ304" s="13"/>
      <c r="AK304" s="13"/>
      <c r="AL304" s="13"/>
    </row>
    <row r="305" spans="31:38">
      <c r="AE305" s="13"/>
      <c r="AF305" s="13"/>
      <c r="AG305" s="13"/>
      <c r="AH305" s="13"/>
      <c r="AI305" s="13"/>
      <c r="AJ305" s="13"/>
      <c r="AK305" s="13"/>
      <c r="AL305" s="13"/>
    </row>
    <row r="306" spans="31:38">
      <c r="AE306" s="13"/>
      <c r="AF306" s="13"/>
      <c r="AG306" s="13"/>
      <c r="AH306" s="13"/>
      <c r="AI306" s="13"/>
      <c r="AJ306" s="13"/>
      <c r="AK306" s="13"/>
      <c r="AL306" s="13"/>
    </row>
    <row r="307" spans="31:38">
      <c r="AE307" s="13"/>
      <c r="AF307" s="13"/>
      <c r="AG307" s="13"/>
      <c r="AH307" s="13"/>
      <c r="AI307" s="13"/>
      <c r="AJ307" s="13"/>
      <c r="AK307" s="13"/>
      <c r="AL307" s="13"/>
    </row>
    <row r="308" spans="31:38">
      <c r="AE308" s="13"/>
      <c r="AF308" s="13"/>
      <c r="AG308" s="13"/>
      <c r="AH308" s="13"/>
      <c r="AI308" s="13"/>
      <c r="AJ308" s="13"/>
      <c r="AK308" s="13"/>
      <c r="AL308" s="13"/>
    </row>
    <row r="309" spans="31:38">
      <c r="AE309" s="13"/>
      <c r="AF309" s="13"/>
      <c r="AG309" s="13"/>
      <c r="AH309" s="13"/>
      <c r="AI309" s="13"/>
      <c r="AJ309" s="13"/>
      <c r="AK309" s="13"/>
      <c r="AL309" s="13"/>
    </row>
    <row r="310" spans="31:38">
      <c r="AE310" s="13"/>
      <c r="AF310" s="13"/>
      <c r="AG310" s="13"/>
      <c r="AH310" s="13"/>
      <c r="AI310" s="13"/>
      <c r="AJ310" s="13"/>
      <c r="AK310" s="13"/>
      <c r="AL310" s="13"/>
    </row>
    <row r="311" spans="31:38">
      <c r="AE311" s="13"/>
      <c r="AF311" s="13"/>
      <c r="AG311" s="13"/>
      <c r="AH311" s="13"/>
      <c r="AI311" s="13"/>
      <c r="AJ311" s="13"/>
      <c r="AK311" s="13"/>
      <c r="AL311" s="13"/>
    </row>
    <row r="312" spans="31:38">
      <c r="AE312" s="13"/>
      <c r="AF312" s="13"/>
      <c r="AG312" s="13"/>
      <c r="AH312" s="13"/>
      <c r="AI312" s="13"/>
      <c r="AJ312" s="13"/>
      <c r="AK312" s="13"/>
      <c r="AL312" s="13"/>
    </row>
    <row r="313" spans="31:38">
      <c r="AE313" s="13"/>
      <c r="AF313" s="13"/>
      <c r="AG313" s="13"/>
      <c r="AH313" s="13"/>
      <c r="AI313" s="13"/>
      <c r="AJ313" s="13"/>
      <c r="AK313" s="13"/>
      <c r="AL313" s="13"/>
    </row>
    <row r="314" spans="31:38">
      <c r="AE314" s="13"/>
      <c r="AF314" s="13"/>
      <c r="AG314" s="13"/>
      <c r="AH314" s="13"/>
      <c r="AI314" s="13"/>
      <c r="AJ314" s="13"/>
      <c r="AK314" s="13"/>
      <c r="AL314" s="13"/>
    </row>
    <row r="315" spans="31:38">
      <c r="AE315" s="13"/>
      <c r="AF315" s="13"/>
      <c r="AG315" s="13"/>
      <c r="AH315" s="13"/>
      <c r="AI315" s="13"/>
      <c r="AJ315" s="13"/>
      <c r="AK315" s="13"/>
      <c r="AL315" s="13"/>
    </row>
    <row r="316" spans="31:38">
      <c r="AE316" s="13"/>
      <c r="AF316" s="13"/>
      <c r="AG316" s="13"/>
      <c r="AH316" s="13"/>
      <c r="AI316" s="13"/>
      <c r="AJ316" s="13"/>
      <c r="AK316" s="13"/>
      <c r="AL316" s="13"/>
    </row>
    <row r="317" spans="31:38">
      <c r="AE317" s="13"/>
      <c r="AF317" s="13"/>
      <c r="AG317" s="13"/>
      <c r="AH317" s="13"/>
      <c r="AI317" s="13"/>
      <c r="AJ317" s="13"/>
      <c r="AK317" s="13"/>
      <c r="AL317" s="13"/>
    </row>
    <row r="318" spans="31:38">
      <c r="AE318" s="13"/>
      <c r="AF318" s="13"/>
      <c r="AG318" s="13"/>
      <c r="AH318" s="13"/>
      <c r="AI318" s="13"/>
      <c r="AJ318" s="13"/>
      <c r="AK318" s="13"/>
      <c r="AL318" s="13"/>
    </row>
    <row r="319" spans="31:38">
      <c r="AE319" s="13"/>
      <c r="AF319" s="13"/>
      <c r="AG319" s="13"/>
      <c r="AH319" s="13"/>
      <c r="AI319" s="13"/>
      <c r="AJ319" s="13"/>
      <c r="AK319" s="13"/>
      <c r="AL319" s="13"/>
    </row>
    <row r="320" spans="31:38">
      <c r="AE320" s="13"/>
      <c r="AF320" s="13"/>
      <c r="AG320" s="13"/>
      <c r="AH320" s="13"/>
      <c r="AI320" s="13"/>
      <c r="AJ320" s="13"/>
      <c r="AK320" s="13"/>
      <c r="AL320" s="13"/>
    </row>
    <row r="321" spans="31:38">
      <c r="AE321" s="13"/>
      <c r="AF321" s="13"/>
      <c r="AG321" s="13"/>
      <c r="AH321" s="13"/>
      <c r="AI321" s="13"/>
      <c r="AJ321" s="13"/>
      <c r="AK321" s="13"/>
      <c r="AL321" s="13"/>
    </row>
    <row r="322" spans="31:38">
      <c r="AE322" s="13"/>
      <c r="AF322" s="13"/>
      <c r="AG322" s="13"/>
      <c r="AH322" s="13"/>
      <c r="AI322" s="13"/>
      <c r="AJ322" s="13"/>
      <c r="AK322" s="13"/>
      <c r="AL322" s="13"/>
    </row>
    <row r="323" spans="31:38">
      <c r="AE323" s="13"/>
      <c r="AF323" s="13"/>
      <c r="AG323" s="13"/>
      <c r="AH323" s="13"/>
      <c r="AI323" s="13"/>
      <c r="AJ323" s="13"/>
      <c r="AK323" s="13"/>
      <c r="AL323" s="13"/>
    </row>
    <row r="324" spans="31:38">
      <c r="AE324" s="13"/>
      <c r="AF324" s="13"/>
      <c r="AG324" s="13"/>
      <c r="AH324" s="13"/>
      <c r="AI324" s="13"/>
      <c r="AJ324" s="13"/>
      <c r="AK324" s="13"/>
      <c r="AL324" s="13"/>
    </row>
    <row r="325" spans="31:38">
      <c r="AE325" s="13"/>
      <c r="AF325" s="13"/>
      <c r="AG325" s="13"/>
      <c r="AH325" s="13"/>
      <c r="AI325" s="13"/>
      <c r="AJ325" s="13"/>
      <c r="AK325" s="13"/>
      <c r="AL325" s="13"/>
    </row>
    <row r="326" spans="31:38">
      <c r="AE326" s="13"/>
      <c r="AF326" s="13"/>
      <c r="AG326" s="13"/>
      <c r="AH326" s="13"/>
      <c r="AI326" s="13"/>
      <c r="AJ326" s="13"/>
      <c r="AK326" s="13"/>
      <c r="AL326" s="13"/>
    </row>
    <row r="327" spans="31:38">
      <c r="AE327" s="13"/>
      <c r="AF327" s="13"/>
      <c r="AG327" s="13"/>
      <c r="AH327" s="13"/>
      <c r="AI327" s="13"/>
      <c r="AJ327" s="13"/>
      <c r="AK327" s="13"/>
      <c r="AL327" s="13"/>
    </row>
    <row r="328" spans="31:38">
      <c r="AE328" s="13"/>
      <c r="AF328" s="13"/>
      <c r="AG328" s="13"/>
      <c r="AH328" s="13"/>
      <c r="AI328" s="13"/>
      <c r="AJ328" s="13"/>
      <c r="AK328" s="13"/>
      <c r="AL328" s="13"/>
    </row>
    <row r="329" spans="31:38">
      <c r="AE329" s="13"/>
      <c r="AF329" s="13"/>
      <c r="AG329" s="13"/>
      <c r="AH329" s="13"/>
      <c r="AI329" s="13"/>
      <c r="AJ329" s="13"/>
      <c r="AK329" s="13"/>
      <c r="AL329" s="13"/>
    </row>
    <row r="330" spans="31:38">
      <c r="AE330" s="13"/>
      <c r="AF330" s="13"/>
      <c r="AG330" s="13"/>
      <c r="AH330" s="13"/>
      <c r="AI330" s="13"/>
      <c r="AJ330" s="13"/>
      <c r="AK330" s="13"/>
      <c r="AL330" s="13"/>
    </row>
    <row r="331" spans="31:38">
      <c r="AE331" s="13"/>
      <c r="AF331" s="13"/>
      <c r="AG331" s="13"/>
      <c r="AH331" s="13"/>
      <c r="AI331" s="13"/>
      <c r="AJ331" s="13"/>
      <c r="AK331" s="13"/>
      <c r="AL331" s="13"/>
    </row>
    <row r="332" spans="31:38">
      <c r="AE332" s="13"/>
      <c r="AF332" s="13"/>
      <c r="AG332" s="13"/>
      <c r="AH332" s="13"/>
      <c r="AI332" s="13"/>
      <c r="AJ332" s="13"/>
      <c r="AK332" s="13"/>
      <c r="AL332" s="13"/>
    </row>
    <row r="333" spans="31:38">
      <c r="AE333" s="13"/>
      <c r="AF333" s="13"/>
      <c r="AG333" s="13"/>
      <c r="AH333" s="13"/>
      <c r="AI333" s="13"/>
      <c r="AJ333" s="13"/>
      <c r="AK333" s="13"/>
      <c r="AL333" s="13"/>
    </row>
    <row r="334" spans="31:38">
      <c r="AE334" s="13"/>
      <c r="AF334" s="13"/>
      <c r="AG334" s="13"/>
      <c r="AH334" s="13"/>
      <c r="AI334" s="13"/>
      <c r="AJ334" s="13"/>
      <c r="AK334" s="13"/>
      <c r="AL334" s="13"/>
    </row>
    <row r="335" spans="31:38">
      <c r="AE335" s="13"/>
      <c r="AF335" s="13"/>
      <c r="AG335" s="13"/>
      <c r="AH335" s="13"/>
      <c r="AI335" s="13"/>
      <c r="AJ335" s="13"/>
      <c r="AK335" s="13"/>
      <c r="AL335" s="13"/>
    </row>
    <row r="336" spans="31:38">
      <c r="AE336" s="13"/>
      <c r="AF336" s="13"/>
      <c r="AG336" s="13"/>
      <c r="AH336" s="13"/>
      <c r="AI336" s="13"/>
      <c r="AJ336" s="13"/>
      <c r="AK336" s="13"/>
      <c r="AL336" s="13"/>
    </row>
    <row r="337" spans="31:38">
      <c r="AE337" s="13"/>
      <c r="AF337" s="13"/>
      <c r="AG337" s="13"/>
      <c r="AH337" s="13"/>
      <c r="AI337" s="13"/>
      <c r="AJ337" s="13"/>
      <c r="AK337" s="13"/>
      <c r="AL337" s="13"/>
    </row>
    <row r="338" spans="31:38">
      <c r="AE338" s="13"/>
      <c r="AF338" s="13"/>
      <c r="AG338" s="13"/>
      <c r="AH338" s="13"/>
      <c r="AI338" s="13"/>
      <c r="AJ338" s="13"/>
      <c r="AK338" s="13"/>
      <c r="AL338" s="13"/>
    </row>
    <row r="339" spans="31:38">
      <c r="AE339" s="13"/>
      <c r="AF339" s="13"/>
      <c r="AG339" s="13"/>
      <c r="AH339" s="13"/>
      <c r="AI339" s="13"/>
      <c r="AJ339" s="13"/>
      <c r="AK339" s="13"/>
      <c r="AL339" s="13"/>
    </row>
    <row r="340" spans="31:38">
      <c r="AE340" s="13"/>
      <c r="AF340" s="13"/>
      <c r="AG340" s="13"/>
      <c r="AH340" s="13"/>
      <c r="AI340" s="13"/>
      <c r="AJ340" s="13"/>
      <c r="AK340" s="13"/>
      <c r="AL340" s="13"/>
    </row>
    <row r="341" spans="31:38">
      <c r="AE341" s="13"/>
      <c r="AF341" s="13"/>
      <c r="AG341" s="13"/>
      <c r="AH341" s="13"/>
      <c r="AI341" s="13"/>
      <c r="AJ341" s="13"/>
      <c r="AK341" s="13"/>
      <c r="AL341" s="13"/>
    </row>
    <row r="342" spans="31:38">
      <c r="AE342" s="13"/>
      <c r="AF342" s="13"/>
      <c r="AG342" s="13"/>
      <c r="AH342" s="13"/>
      <c r="AI342" s="13"/>
      <c r="AJ342" s="13"/>
      <c r="AK342" s="13"/>
      <c r="AL342" s="13"/>
    </row>
    <row r="343" spans="31:38">
      <c r="AE343" s="13"/>
      <c r="AF343" s="13"/>
      <c r="AG343" s="13"/>
      <c r="AH343" s="13"/>
      <c r="AI343" s="13"/>
      <c r="AJ343" s="13"/>
      <c r="AK343" s="13"/>
      <c r="AL343" s="13"/>
    </row>
    <row r="344" spans="31:38">
      <c r="AE344" s="13"/>
      <c r="AF344" s="13"/>
      <c r="AG344" s="13"/>
      <c r="AH344" s="13"/>
      <c r="AI344" s="13"/>
      <c r="AJ344" s="13"/>
      <c r="AK344" s="13"/>
      <c r="AL344" s="13"/>
    </row>
    <row r="345" spans="31:38">
      <c r="AE345" s="13"/>
      <c r="AF345" s="13"/>
      <c r="AG345" s="13"/>
      <c r="AH345" s="13"/>
      <c r="AI345" s="13"/>
      <c r="AJ345" s="13"/>
      <c r="AK345" s="13"/>
      <c r="AL345" s="13"/>
    </row>
    <row r="346" spans="31:38">
      <c r="AE346" s="13"/>
      <c r="AF346" s="13"/>
      <c r="AG346" s="13"/>
      <c r="AH346" s="13"/>
      <c r="AI346" s="13"/>
      <c r="AJ346" s="13"/>
      <c r="AK346" s="13"/>
      <c r="AL346" s="13"/>
    </row>
    <row r="347" spans="31:38">
      <c r="AE347" s="13"/>
      <c r="AF347" s="13"/>
      <c r="AG347" s="13"/>
      <c r="AH347" s="13"/>
      <c r="AI347" s="13"/>
      <c r="AJ347" s="13"/>
      <c r="AK347" s="13"/>
      <c r="AL347" s="13"/>
    </row>
    <row r="348" spans="31:38">
      <c r="AE348" s="13"/>
      <c r="AF348" s="13"/>
      <c r="AG348" s="13"/>
      <c r="AH348" s="13"/>
      <c r="AI348" s="13"/>
      <c r="AJ348" s="13"/>
      <c r="AK348" s="13"/>
      <c r="AL348" s="13"/>
    </row>
    <row r="349" spans="31:38">
      <c r="AE349" s="13"/>
      <c r="AF349" s="13"/>
      <c r="AG349" s="13"/>
      <c r="AH349" s="13"/>
      <c r="AI349" s="13"/>
      <c r="AJ349" s="13"/>
      <c r="AK349" s="13"/>
      <c r="AL349" s="13"/>
    </row>
    <row r="350" spans="31:38">
      <c r="AE350" s="13"/>
      <c r="AF350" s="13"/>
      <c r="AG350" s="13"/>
      <c r="AH350" s="13"/>
      <c r="AI350" s="13"/>
      <c r="AJ350" s="13"/>
      <c r="AK350" s="13"/>
      <c r="AL350" s="13"/>
    </row>
    <row r="351" spans="31:38">
      <c r="AE351" s="13"/>
      <c r="AF351" s="13"/>
      <c r="AG351" s="13"/>
      <c r="AH351" s="13"/>
      <c r="AI351" s="13"/>
      <c r="AJ351" s="13"/>
      <c r="AK351" s="13"/>
      <c r="AL351" s="13"/>
    </row>
    <row r="352" spans="31:38">
      <c r="AE352" s="13"/>
      <c r="AF352" s="13"/>
      <c r="AG352" s="13"/>
      <c r="AH352" s="13"/>
      <c r="AI352" s="13"/>
      <c r="AJ352" s="13"/>
      <c r="AK352" s="13"/>
      <c r="AL352" s="13"/>
    </row>
    <row r="353" spans="31:38">
      <c r="AE353" s="13"/>
      <c r="AF353" s="13"/>
      <c r="AG353" s="13"/>
      <c r="AH353" s="13"/>
      <c r="AI353" s="13"/>
      <c r="AJ353" s="13"/>
      <c r="AK353" s="13"/>
      <c r="AL353" s="13"/>
    </row>
    <row r="354" spans="31:38">
      <c r="AE354" s="13"/>
      <c r="AF354" s="13"/>
      <c r="AG354" s="13"/>
      <c r="AH354" s="13"/>
      <c r="AI354" s="13"/>
      <c r="AJ354" s="13"/>
      <c r="AK354" s="13"/>
      <c r="AL354" s="13"/>
    </row>
    <row r="355" spans="31:38">
      <c r="AE355" s="13"/>
      <c r="AF355" s="13"/>
      <c r="AG355" s="13"/>
      <c r="AH355" s="13"/>
      <c r="AI355" s="13"/>
      <c r="AJ355" s="13"/>
      <c r="AK355" s="13"/>
      <c r="AL355" s="13"/>
    </row>
    <row r="356" spans="31:38">
      <c r="AE356" s="13"/>
      <c r="AF356" s="13"/>
      <c r="AG356" s="13"/>
      <c r="AH356" s="13"/>
      <c r="AI356" s="13"/>
      <c r="AJ356" s="13"/>
      <c r="AK356" s="13"/>
      <c r="AL356" s="13"/>
    </row>
    <row r="357" spans="31:38">
      <c r="AE357" s="13"/>
      <c r="AF357" s="13"/>
      <c r="AG357" s="13"/>
      <c r="AH357" s="13"/>
      <c r="AI357" s="13"/>
      <c r="AJ357" s="13"/>
      <c r="AK357" s="13"/>
      <c r="AL357" s="13"/>
    </row>
    <row r="358" spans="31:38">
      <c r="AE358" s="13"/>
      <c r="AF358" s="13"/>
      <c r="AG358" s="13"/>
      <c r="AH358" s="13"/>
      <c r="AI358" s="13"/>
      <c r="AJ358" s="13"/>
      <c r="AK358" s="13"/>
      <c r="AL358" s="13"/>
    </row>
    <row r="359" spans="31:38">
      <c r="AE359" s="13"/>
      <c r="AF359" s="13"/>
      <c r="AG359" s="13"/>
      <c r="AH359" s="13"/>
      <c r="AI359" s="13"/>
      <c r="AJ359" s="13"/>
      <c r="AK359" s="13"/>
      <c r="AL359" s="13"/>
    </row>
    <row r="360" spans="31:38">
      <c r="AE360" s="13"/>
      <c r="AF360" s="13"/>
      <c r="AG360" s="13"/>
      <c r="AH360" s="13"/>
      <c r="AI360" s="13"/>
      <c r="AJ360" s="13"/>
      <c r="AK360" s="13"/>
      <c r="AL360" s="13"/>
    </row>
    <row r="361" spans="31:38">
      <c r="AE361" s="13"/>
      <c r="AF361" s="13"/>
      <c r="AG361" s="13"/>
      <c r="AH361" s="13"/>
      <c r="AI361" s="13"/>
      <c r="AJ361" s="13"/>
      <c r="AK361" s="13"/>
      <c r="AL361" s="13"/>
    </row>
    <row r="362" spans="31:38">
      <c r="AE362" s="13"/>
      <c r="AF362" s="13"/>
      <c r="AG362" s="13"/>
      <c r="AH362" s="13"/>
      <c r="AI362" s="13"/>
      <c r="AJ362" s="13"/>
      <c r="AK362" s="13"/>
      <c r="AL362" s="13"/>
    </row>
    <row r="363" spans="31:38">
      <c r="AE363" s="13"/>
      <c r="AF363" s="13"/>
      <c r="AG363" s="13"/>
      <c r="AH363" s="13"/>
      <c r="AI363" s="13"/>
      <c r="AJ363" s="13"/>
      <c r="AK363" s="13"/>
      <c r="AL363" s="13"/>
    </row>
    <row r="364" spans="31:38">
      <c r="AE364" s="13"/>
      <c r="AF364" s="13"/>
      <c r="AG364" s="13"/>
      <c r="AH364" s="13"/>
      <c r="AI364" s="13"/>
      <c r="AJ364" s="13"/>
      <c r="AK364" s="13"/>
      <c r="AL364" s="13"/>
    </row>
    <row r="365" spans="31:38">
      <c r="AE365" s="13"/>
      <c r="AF365" s="13"/>
      <c r="AG365" s="13"/>
      <c r="AH365" s="13"/>
      <c r="AI365" s="13"/>
      <c r="AJ365" s="13"/>
      <c r="AK365" s="13"/>
      <c r="AL365" s="13"/>
    </row>
    <row r="366" spans="31:38">
      <c r="AE366" s="13"/>
      <c r="AF366" s="13"/>
      <c r="AG366" s="13"/>
      <c r="AH366" s="13"/>
      <c r="AI366" s="13"/>
      <c r="AJ366" s="13"/>
      <c r="AK366" s="13"/>
      <c r="AL366" s="13"/>
    </row>
    <row r="367" spans="31:38">
      <c r="AE367" s="13"/>
      <c r="AF367" s="13"/>
      <c r="AG367" s="13"/>
      <c r="AH367" s="13"/>
      <c r="AI367" s="13"/>
      <c r="AJ367" s="13"/>
      <c r="AK367" s="13"/>
      <c r="AL367" s="13"/>
    </row>
    <row r="368" spans="31:38">
      <c r="AE368" s="13"/>
      <c r="AF368" s="13"/>
      <c r="AG368" s="13"/>
      <c r="AH368" s="13"/>
      <c r="AI368" s="13"/>
      <c r="AJ368" s="13"/>
      <c r="AK368" s="13"/>
      <c r="AL368" s="13"/>
    </row>
    <row r="369" spans="31:38">
      <c r="AE369" s="13"/>
      <c r="AF369" s="13"/>
      <c r="AG369" s="13"/>
      <c r="AH369" s="13"/>
      <c r="AI369" s="13"/>
      <c r="AJ369" s="13"/>
      <c r="AK369" s="13"/>
      <c r="AL369" s="13"/>
    </row>
    <row r="370" spans="31:38">
      <c r="AE370" s="13"/>
      <c r="AF370" s="13"/>
      <c r="AG370" s="13"/>
      <c r="AH370" s="13"/>
      <c r="AI370" s="13"/>
      <c r="AJ370" s="13"/>
      <c r="AK370" s="13"/>
      <c r="AL370" s="13"/>
    </row>
    <row r="371" spans="31:38">
      <c r="AE371" s="13"/>
      <c r="AF371" s="13"/>
      <c r="AG371" s="13"/>
      <c r="AH371" s="13"/>
      <c r="AI371" s="13"/>
      <c r="AJ371" s="13"/>
      <c r="AK371" s="13"/>
      <c r="AL371" s="13"/>
    </row>
    <row r="372" spans="31:38">
      <c r="AE372" s="13"/>
      <c r="AF372" s="13"/>
      <c r="AG372" s="13"/>
      <c r="AH372" s="13"/>
      <c r="AI372" s="13"/>
      <c r="AJ372" s="13"/>
      <c r="AK372" s="13"/>
      <c r="AL372" s="13"/>
    </row>
    <row r="373" spans="31:38">
      <c r="AE373" s="13"/>
      <c r="AF373" s="13"/>
      <c r="AG373" s="13"/>
      <c r="AH373" s="13"/>
      <c r="AI373" s="13"/>
      <c r="AJ373" s="13"/>
      <c r="AK373" s="13"/>
      <c r="AL373" s="13"/>
    </row>
    <row r="374" spans="31:38">
      <c r="AE374" s="13"/>
      <c r="AF374" s="13"/>
      <c r="AG374" s="13"/>
      <c r="AH374" s="13"/>
      <c r="AI374" s="13"/>
      <c r="AJ374" s="13"/>
      <c r="AK374" s="13"/>
      <c r="AL374" s="13"/>
    </row>
    <row r="375" spans="31:38">
      <c r="AE375" s="13"/>
      <c r="AF375" s="13"/>
      <c r="AG375" s="13"/>
      <c r="AH375" s="13"/>
      <c r="AI375" s="13"/>
      <c r="AJ375" s="13"/>
      <c r="AK375" s="13"/>
      <c r="AL375" s="13"/>
    </row>
    <row r="376" spans="31:38">
      <c r="AE376" s="13"/>
      <c r="AF376" s="13"/>
      <c r="AG376" s="13"/>
      <c r="AH376" s="13"/>
      <c r="AI376" s="13"/>
      <c r="AJ376" s="13"/>
      <c r="AK376" s="13"/>
      <c r="AL376" s="13"/>
    </row>
    <row r="377" spans="31:38">
      <c r="AE377" s="13"/>
      <c r="AF377" s="13"/>
      <c r="AG377" s="13"/>
      <c r="AH377" s="13"/>
      <c r="AI377" s="13"/>
      <c r="AJ377" s="13"/>
      <c r="AK377" s="13"/>
      <c r="AL377" s="13"/>
    </row>
    <row r="378" spans="31:38">
      <c r="AE378" s="13"/>
      <c r="AF378" s="13"/>
      <c r="AG378" s="13"/>
      <c r="AH378" s="13"/>
      <c r="AI378" s="13"/>
      <c r="AJ378" s="13"/>
      <c r="AK378" s="13"/>
      <c r="AL378" s="13"/>
    </row>
    <row r="379" spans="31:38">
      <c r="AE379" s="13"/>
      <c r="AF379" s="13"/>
      <c r="AG379" s="13"/>
      <c r="AH379" s="13"/>
      <c r="AI379" s="13"/>
      <c r="AJ379" s="13"/>
      <c r="AK379" s="13"/>
      <c r="AL379" s="13"/>
    </row>
    <row r="380" spans="31:38">
      <c r="AE380" s="13"/>
      <c r="AF380" s="13"/>
      <c r="AG380" s="13"/>
      <c r="AH380" s="13"/>
      <c r="AI380" s="13"/>
      <c r="AJ380" s="13"/>
      <c r="AK380" s="13"/>
      <c r="AL380" s="13"/>
    </row>
    <row r="381" spans="31:38">
      <c r="AE381" s="13"/>
      <c r="AF381" s="13"/>
      <c r="AG381" s="13"/>
      <c r="AH381" s="13"/>
      <c r="AI381" s="13"/>
      <c r="AJ381" s="13"/>
      <c r="AK381" s="13"/>
      <c r="AL381" s="13"/>
    </row>
    <row r="382" spans="31:38">
      <c r="AE382" s="13"/>
      <c r="AF382" s="13"/>
      <c r="AG382" s="13"/>
      <c r="AH382" s="13"/>
      <c r="AI382" s="13"/>
      <c r="AJ382" s="13"/>
      <c r="AK382" s="13"/>
      <c r="AL382" s="13"/>
    </row>
    <row r="383" spans="31:38">
      <c r="AE383" s="13"/>
      <c r="AF383" s="13"/>
      <c r="AG383" s="13"/>
      <c r="AH383" s="13"/>
      <c r="AI383" s="13"/>
      <c r="AJ383" s="13"/>
      <c r="AK383" s="13"/>
      <c r="AL383" s="13"/>
    </row>
    <row r="384" spans="31:38">
      <c r="AE384" s="13"/>
      <c r="AF384" s="13"/>
      <c r="AG384" s="13"/>
      <c r="AH384" s="13"/>
      <c r="AI384" s="13"/>
      <c r="AJ384" s="13"/>
      <c r="AK384" s="13"/>
      <c r="AL384" s="13"/>
    </row>
    <row r="385" spans="31:38">
      <c r="AE385" s="13"/>
      <c r="AF385" s="13"/>
      <c r="AG385" s="13"/>
      <c r="AH385" s="13"/>
      <c r="AI385" s="13"/>
      <c r="AJ385" s="13"/>
      <c r="AK385" s="13"/>
      <c r="AL385" s="13"/>
    </row>
    <row r="386" spans="31:38">
      <c r="AE386" s="13"/>
      <c r="AF386" s="13"/>
      <c r="AG386" s="13"/>
      <c r="AH386" s="13"/>
      <c r="AI386" s="13"/>
      <c r="AJ386" s="13"/>
      <c r="AK386" s="13"/>
      <c r="AL386" s="13"/>
    </row>
    <row r="387" spans="31:38">
      <c r="AE387" s="13"/>
      <c r="AF387" s="13"/>
      <c r="AG387" s="13"/>
      <c r="AH387" s="13"/>
      <c r="AI387" s="13"/>
      <c r="AJ387" s="13"/>
      <c r="AK387" s="13"/>
      <c r="AL387" s="13"/>
    </row>
    <row r="388" spans="31:38">
      <c r="AE388" s="13"/>
      <c r="AF388" s="13"/>
      <c r="AG388" s="13"/>
      <c r="AH388" s="13"/>
      <c r="AI388" s="13"/>
      <c r="AJ388" s="13"/>
      <c r="AK388" s="13"/>
      <c r="AL388" s="13"/>
    </row>
    <row r="389" spans="31:38">
      <c r="AE389" s="13"/>
      <c r="AF389" s="13"/>
      <c r="AG389" s="13"/>
      <c r="AH389" s="13"/>
      <c r="AI389" s="13"/>
      <c r="AJ389" s="13"/>
      <c r="AK389" s="13"/>
      <c r="AL389" s="13"/>
    </row>
    <row r="390" spans="31:38">
      <c r="AE390" s="13"/>
      <c r="AF390" s="13"/>
      <c r="AG390" s="13"/>
      <c r="AH390" s="13"/>
      <c r="AI390" s="13"/>
      <c r="AJ390" s="13"/>
      <c r="AK390" s="13"/>
      <c r="AL390" s="13"/>
    </row>
    <row r="391" spans="31:38">
      <c r="AE391" s="13"/>
      <c r="AF391" s="13"/>
      <c r="AG391" s="13"/>
      <c r="AH391" s="13"/>
      <c r="AI391" s="13"/>
      <c r="AJ391" s="13"/>
      <c r="AK391" s="13"/>
      <c r="AL391" s="13"/>
    </row>
    <row r="392" spans="31:38">
      <c r="AE392" s="13"/>
      <c r="AF392" s="13"/>
      <c r="AG392" s="13"/>
      <c r="AH392" s="13"/>
      <c r="AI392" s="13"/>
      <c r="AJ392" s="13"/>
      <c r="AK392" s="13"/>
      <c r="AL392" s="13"/>
    </row>
    <row r="393" spans="31:38">
      <c r="AE393" s="13"/>
      <c r="AF393" s="13"/>
      <c r="AG393" s="13"/>
      <c r="AH393" s="13"/>
      <c r="AI393" s="13"/>
      <c r="AJ393" s="13"/>
      <c r="AK393" s="13"/>
      <c r="AL393" s="13"/>
    </row>
    <row r="394" spans="31:38">
      <c r="AE394" s="13"/>
      <c r="AF394" s="13"/>
      <c r="AG394" s="13"/>
      <c r="AH394" s="13"/>
      <c r="AI394" s="13"/>
      <c r="AJ394" s="13"/>
      <c r="AK394" s="13"/>
      <c r="AL394" s="13"/>
    </row>
    <row r="395" spans="31:38">
      <c r="AE395" s="13"/>
      <c r="AF395" s="13"/>
      <c r="AG395" s="13"/>
      <c r="AH395" s="13"/>
      <c r="AI395" s="13"/>
      <c r="AJ395" s="13"/>
      <c r="AK395" s="13"/>
      <c r="AL395" s="13"/>
    </row>
    <row r="396" spans="31:38">
      <c r="AE396" s="13"/>
      <c r="AF396" s="13"/>
      <c r="AG396" s="13"/>
      <c r="AH396" s="13"/>
      <c r="AI396" s="13"/>
      <c r="AJ396" s="13"/>
      <c r="AK396" s="13"/>
      <c r="AL396" s="13"/>
    </row>
    <row r="397" spans="31:38">
      <c r="AE397" s="13"/>
      <c r="AF397" s="13"/>
      <c r="AG397" s="13"/>
      <c r="AH397" s="13"/>
      <c r="AI397" s="13"/>
      <c r="AJ397" s="13"/>
      <c r="AK397" s="13"/>
      <c r="AL397" s="13"/>
    </row>
    <row r="398" spans="31:38">
      <c r="AE398" s="13"/>
      <c r="AF398" s="13"/>
      <c r="AG398" s="13"/>
      <c r="AH398" s="13"/>
      <c r="AI398" s="13"/>
      <c r="AJ398" s="13"/>
      <c r="AK398" s="13"/>
      <c r="AL398" s="13"/>
    </row>
    <row r="399" spans="31:38">
      <c r="AE399" s="13"/>
      <c r="AF399" s="13"/>
      <c r="AG399" s="13"/>
      <c r="AH399" s="13"/>
      <c r="AI399" s="13"/>
      <c r="AJ399" s="13"/>
      <c r="AK399" s="13"/>
      <c r="AL399" s="13"/>
    </row>
    <row r="400" spans="31:38">
      <c r="AE400" s="13"/>
      <c r="AF400" s="13"/>
      <c r="AG400" s="13"/>
      <c r="AH400" s="13"/>
      <c r="AI400" s="13"/>
      <c r="AJ400" s="13"/>
      <c r="AK400" s="13"/>
      <c r="AL400" s="13"/>
    </row>
    <row r="401" spans="31:38">
      <c r="AE401" s="13"/>
      <c r="AF401" s="13"/>
      <c r="AG401" s="13"/>
      <c r="AH401" s="13"/>
      <c r="AI401" s="13"/>
      <c r="AJ401" s="13"/>
      <c r="AK401" s="13"/>
      <c r="AL401" s="13"/>
    </row>
    <row r="402" spans="31:38">
      <c r="AE402" s="13"/>
      <c r="AF402" s="13"/>
      <c r="AG402" s="13"/>
      <c r="AH402" s="13"/>
      <c r="AI402" s="13"/>
      <c r="AJ402" s="13"/>
      <c r="AK402" s="13"/>
      <c r="AL402" s="13"/>
    </row>
    <row r="403" spans="31:38">
      <c r="AE403" s="13"/>
      <c r="AF403" s="13"/>
      <c r="AG403" s="13"/>
      <c r="AH403" s="13"/>
      <c r="AI403" s="13"/>
      <c r="AJ403" s="13"/>
      <c r="AK403" s="13"/>
      <c r="AL403" s="13"/>
    </row>
    <row r="404" spans="31:38">
      <c r="AE404" s="13"/>
      <c r="AF404" s="13"/>
      <c r="AG404" s="13"/>
      <c r="AH404" s="13"/>
      <c r="AI404" s="13"/>
      <c r="AJ404" s="13"/>
      <c r="AK404" s="13"/>
      <c r="AL404" s="13"/>
    </row>
    <row r="405" spans="31:38">
      <c r="AE405" s="13"/>
      <c r="AF405" s="13"/>
      <c r="AG405" s="13"/>
      <c r="AH405" s="13"/>
      <c r="AI405" s="13"/>
      <c r="AJ405" s="13"/>
      <c r="AK405" s="13"/>
      <c r="AL405" s="13"/>
    </row>
    <row r="406" spans="31:38">
      <c r="AE406" s="13"/>
      <c r="AF406" s="13"/>
      <c r="AG406" s="13"/>
      <c r="AH406" s="13"/>
      <c r="AI406" s="13"/>
      <c r="AJ406" s="13"/>
      <c r="AK406" s="13"/>
      <c r="AL406" s="13"/>
    </row>
    <row r="407" spans="31:38">
      <c r="AE407" s="13"/>
      <c r="AF407" s="13"/>
      <c r="AG407" s="13"/>
      <c r="AH407" s="13"/>
      <c r="AI407" s="13"/>
      <c r="AJ407" s="13"/>
      <c r="AK407" s="13"/>
      <c r="AL407" s="13"/>
    </row>
    <row r="408" spans="31:38">
      <c r="AE408" s="13"/>
      <c r="AF408" s="13"/>
      <c r="AG408" s="13"/>
      <c r="AH408" s="13"/>
      <c r="AI408" s="13"/>
      <c r="AJ408" s="13"/>
      <c r="AK408" s="13"/>
      <c r="AL408" s="13"/>
    </row>
    <row r="409" spans="31:38">
      <c r="AE409" s="13"/>
      <c r="AF409" s="13"/>
      <c r="AG409" s="13"/>
      <c r="AH409" s="13"/>
      <c r="AI409" s="13"/>
      <c r="AJ409" s="13"/>
      <c r="AK409" s="13"/>
      <c r="AL409" s="13"/>
    </row>
    <row r="410" spans="31:38">
      <c r="AE410" s="13"/>
      <c r="AF410" s="13"/>
      <c r="AG410" s="13"/>
      <c r="AH410" s="13"/>
      <c r="AI410" s="13"/>
      <c r="AJ410" s="13"/>
      <c r="AK410" s="13"/>
      <c r="AL410" s="13"/>
    </row>
    <row r="411" spans="31:38">
      <c r="AE411" s="13"/>
      <c r="AF411" s="13"/>
      <c r="AG411" s="13"/>
      <c r="AH411" s="13"/>
      <c r="AI411" s="13"/>
      <c r="AJ411" s="13"/>
      <c r="AK411" s="13"/>
      <c r="AL411" s="13"/>
    </row>
    <row r="412" spans="31:38">
      <c r="AE412" s="13"/>
      <c r="AF412" s="13"/>
      <c r="AG412" s="13"/>
      <c r="AH412" s="13"/>
      <c r="AI412" s="13"/>
      <c r="AJ412" s="13"/>
      <c r="AK412" s="13"/>
      <c r="AL412" s="13"/>
    </row>
    <row r="413" spans="31:38">
      <c r="AE413" s="13"/>
      <c r="AF413" s="13"/>
      <c r="AG413" s="13"/>
      <c r="AH413" s="13"/>
      <c r="AI413" s="13"/>
      <c r="AJ413" s="13"/>
      <c r="AK413" s="13"/>
      <c r="AL413" s="13"/>
    </row>
    <row r="414" spans="31:38">
      <c r="AE414" s="13"/>
      <c r="AF414" s="13"/>
      <c r="AG414" s="13"/>
      <c r="AH414" s="13"/>
      <c r="AI414" s="13"/>
      <c r="AJ414" s="13"/>
      <c r="AK414" s="13"/>
      <c r="AL414" s="13"/>
    </row>
    <row r="415" spans="31:38">
      <c r="AE415" s="13"/>
      <c r="AF415" s="13"/>
      <c r="AG415" s="13"/>
      <c r="AH415" s="13"/>
      <c r="AI415" s="13"/>
      <c r="AJ415" s="13"/>
      <c r="AK415" s="13"/>
      <c r="AL415" s="13"/>
    </row>
    <row r="416" spans="31:38">
      <c r="AE416" s="13"/>
      <c r="AF416" s="13"/>
      <c r="AG416" s="13"/>
      <c r="AH416" s="13"/>
      <c r="AI416" s="13"/>
      <c r="AJ416" s="13"/>
      <c r="AK416" s="13"/>
      <c r="AL416" s="13"/>
    </row>
    <row r="417" spans="31:38">
      <c r="AE417" s="13"/>
      <c r="AF417" s="13"/>
      <c r="AG417" s="13"/>
      <c r="AH417" s="13"/>
      <c r="AI417" s="13"/>
      <c r="AJ417" s="13"/>
      <c r="AK417" s="13"/>
      <c r="AL417" s="13"/>
    </row>
    <row r="418" spans="31:38">
      <c r="AE418" s="13"/>
      <c r="AF418" s="13"/>
      <c r="AG418" s="13"/>
      <c r="AH418" s="13"/>
      <c r="AI418" s="13"/>
      <c r="AJ418" s="13"/>
      <c r="AK418" s="13"/>
      <c r="AL418" s="13"/>
    </row>
    <row r="419" spans="31:38">
      <c r="AE419" s="13"/>
      <c r="AF419" s="13"/>
      <c r="AG419" s="13"/>
      <c r="AH419" s="13"/>
      <c r="AI419" s="13"/>
      <c r="AJ419" s="13"/>
      <c r="AK419" s="13"/>
      <c r="AL419" s="13"/>
    </row>
    <row r="420" spans="31:38">
      <c r="AE420" s="13"/>
      <c r="AF420" s="13"/>
      <c r="AG420" s="13"/>
      <c r="AH420" s="13"/>
      <c r="AI420" s="13"/>
      <c r="AJ420" s="13"/>
      <c r="AK420" s="13"/>
      <c r="AL420" s="13"/>
    </row>
    <row r="421" spans="31:38">
      <c r="AE421" s="13"/>
      <c r="AF421" s="13"/>
      <c r="AG421" s="13"/>
      <c r="AH421" s="13"/>
      <c r="AI421" s="13"/>
      <c r="AJ421" s="13"/>
      <c r="AK421" s="13"/>
      <c r="AL421" s="13"/>
    </row>
    <row r="422" spans="31:38">
      <c r="AE422" s="13"/>
      <c r="AF422" s="13"/>
      <c r="AG422" s="13"/>
      <c r="AH422" s="13"/>
      <c r="AI422" s="13"/>
      <c r="AJ422" s="13"/>
      <c r="AK422" s="13"/>
      <c r="AL422" s="13"/>
    </row>
    <row r="423" spans="31:38">
      <c r="AE423" s="13"/>
      <c r="AF423" s="13"/>
      <c r="AG423" s="13"/>
      <c r="AH423" s="13"/>
      <c r="AI423" s="13"/>
      <c r="AJ423" s="13"/>
      <c r="AK423" s="13"/>
      <c r="AL423" s="13"/>
    </row>
    <row r="424" spans="31:38">
      <c r="AE424" s="13"/>
      <c r="AF424" s="13"/>
      <c r="AG424" s="13"/>
      <c r="AH424" s="13"/>
      <c r="AI424" s="13"/>
      <c r="AJ424" s="13"/>
      <c r="AK424" s="13"/>
      <c r="AL424" s="13"/>
    </row>
    <row r="425" spans="31:38">
      <c r="AE425" s="13"/>
      <c r="AF425" s="13"/>
      <c r="AG425" s="13"/>
      <c r="AH425" s="13"/>
      <c r="AI425" s="13"/>
      <c r="AJ425" s="13"/>
      <c r="AK425" s="13"/>
      <c r="AL425" s="13"/>
    </row>
    <row r="426" spans="31:38">
      <c r="AE426" s="13"/>
      <c r="AF426" s="13"/>
      <c r="AG426" s="13"/>
      <c r="AH426" s="13"/>
      <c r="AI426" s="13"/>
      <c r="AJ426" s="13"/>
      <c r="AK426" s="13"/>
      <c r="AL426" s="13"/>
    </row>
    <row r="427" spans="31:38">
      <c r="AE427" s="13"/>
      <c r="AF427" s="13"/>
      <c r="AG427" s="13"/>
      <c r="AH427" s="13"/>
      <c r="AI427" s="13"/>
      <c r="AJ427" s="13"/>
      <c r="AK427" s="13"/>
      <c r="AL427" s="13"/>
    </row>
    <row r="428" spans="31:38">
      <c r="AE428" s="13"/>
      <c r="AF428" s="13"/>
      <c r="AG428" s="13"/>
      <c r="AH428" s="13"/>
      <c r="AI428" s="13"/>
      <c r="AJ428" s="13"/>
      <c r="AK428" s="13"/>
      <c r="AL428" s="13"/>
    </row>
    <row r="429" spans="31:38">
      <c r="AE429" s="13"/>
      <c r="AF429" s="13"/>
      <c r="AG429" s="13"/>
      <c r="AH429" s="13"/>
      <c r="AI429" s="13"/>
      <c r="AJ429" s="13"/>
      <c r="AK429" s="13"/>
      <c r="AL429" s="13"/>
    </row>
    <row r="430" spans="31:38">
      <c r="AE430" s="13"/>
      <c r="AF430" s="13"/>
      <c r="AG430" s="13"/>
      <c r="AH430" s="13"/>
      <c r="AI430" s="13"/>
      <c r="AJ430" s="13"/>
      <c r="AK430" s="13"/>
      <c r="AL430" s="13"/>
    </row>
    <row r="431" spans="31:38">
      <c r="AE431" s="13"/>
      <c r="AF431" s="13"/>
      <c r="AG431" s="13"/>
      <c r="AH431" s="13"/>
      <c r="AI431" s="13"/>
      <c r="AJ431" s="13"/>
      <c r="AK431" s="13"/>
      <c r="AL431" s="13"/>
    </row>
    <row r="432" spans="31:38">
      <c r="AE432" s="13"/>
      <c r="AF432" s="13"/>
      <c r="AG432" s="13"/>
      <c r="AH432" s="13"/>
      <c r="AI432" s="13"/>
      <c r="AJ432" s="13"/>
      <c r="AK432" s="13"/>
      <c r="AL432" s="13"/>
    </row>
    <row r="433" spans="31:38">
      <c r="AE433" s="13"/>
      <c r="AF433" s="13"/>
      <c r="AG433" s="13"/>
      <c r="AH433" s="13"/>
      <c r="AI433" s="13"/>
      <c r="AJ433" s="13"/>
      <c r="AK433" s="13"/>
      <c r="AL433" s="13"/>
    </row>
    <row r="434" spans="31:38">
      <c r="AE434" s="13"/>
      <c r="AF434" s="13"/>
      <c r="AG434" s="13"/>
      <c r="AH434" s="13"/>
      <c r="AI434" s="13"/>
      <c r="AJ434" s="13"/>
      <c r="AK434" s="13"/>
      <c r="AL434" s="13"/>
    </row>
    <row r="435" spans="31:38">
      <c r="AE435" s="13"/>
      <c r="AF435" s="13"/>
      <c r="AG435" s="13"/>
      <c r="AH435" s="13"/>
      <c r="AI435" s="13"/>
      <c r="AJ435" s="13"/>
      <c r="AK435" s="13"/>
      <c r="AL435" s="13"/>
    </row>
    <row r="436" spans="31:38">
      <c r="AE436" s="13"/>
      <c r="AF436" s="13"/>
      <c r="AG436" s="13"/>
      <c r="AH436" s="13"/>
      <c r="AI436" s="13"/>
      <c r="AJ436" s="13"/>
      <c r="AK436" s="13"/>
      <c r="AL436" s="13"/>
    </row>
    <row r="437" spans="31:38">
      <c r="AE437" s="13"/>
      <c r="AF437" s="13"/>
      <c r="AG437" s="13"/>
      <c r="AH437" s="13"/>
      <c r="AI437" s="13"/>
      <c r="AJ437" s="13"/>
      <c r="AK437" s="13"/>
      <c r="AL437" s="13"/>
    </row>
    <row r="438" spans="31:38">
      <c r="AE438" s="13"/>
      <c r="AF438" s="13"/>
      <c r="AG438" s="13"/>
      <c r="AH438" s="13"/>
      <c r="AI438" s="13"/>
      <c r="AJ438" s="13"/>
      <c r="AK438" s="13"/>
      <c r="AL438" s="13"/>
    </row>
    <row r="439" spans="31:38">
      <c r="AE439" s="13"/>
      <c r="AF439" s="13"/>
      <c r="AG439" s="13"/>
      <c r="AH439" s="13"/>
      <c r="AI439" s="13"/>
      <c r="AJ439" s="13"/>
      <c r="AK439" s="13"/>
      <c r="AL439" s="13"/>
    </row>
    <row r="440" spans="31:38">
      <c r="AE440" s="13"/>
      <c r="AF440" s="13"/>
      <c r="AG440" s="13"/>
      <c r="AH440" s="13"/>
      <c r="AI440" s="13"/>
      <c r="AJ440" s="13"/>
      <c r="AK440" s="13"/>
      <c r="AL440" s="13"/>
    </row>
    <row r="441" spans="31:38">
      <c r="AE441" s="13"/>
      <c r="AF441" s="13"/>
      <c r="AG441" s="13"/>
      <c r="AH441" s="13"/>
      <c r="AI441" s="13"/>
      <c r="AJ441" s="13"/>
      <c r="AK441" s="13"/>
      <c r="AL441" s="13"/>
    </row>
    <row r="442" spans="31:38">
      <c r="AE442" s="13"/>
      <c r="AF442" s="13"/>
      <c r="AG442" s="13"/>
      <c r="AH442" s="13"/>
      <c r="AI442" s="13"/>
      <c r="AJ442" s="13"/>
      <c r="AK442" s="13"/>
      <c r="AL442" s="13"/>
    </row>
    <row r="443" spans="31:38">
      <c r="AE443" s="13"/>
      <c r="AF443" s="13"/>
      <c r="AG443" s="13"/>
      <c r="AH443" s="13"/>
      <c r="AI443" s="13"/>
      <c r="AJ443" s="13"/>
      <c r="AK443" s="13"/>
      <c r="AL443" s="13"/>
    </row>
    <row r="444" spans="31:38">
      <c r="AE444" s="13"/>
      <c r="AF444" s="13"/>
      <c r="AG444" s="13"/>
      <c r="AH444" s="13"/>
      <c r="AI444" s="13"/>
      <c r="AJ444" s="13"/>
      <c r="AK444" s="13"/>
      <c r="AL444" s="13"/>
    </row>
    <row r="445" spans="31:38">
      <c r="AE445" s="13"/>
      <c r="AF445" s="13"/>
      <c r="AG445" s="13"/>
      <c r="AH445" s="13"/>
      <c r="AI445" s="13"/>
      <c r="AJ445" s="13"/>
      <c r="AK445" s="13"/>
      <c r="AL445" s="13"/>
    </row>
    <row r="446" spans="31:38">
      <c r="AE446" s="13"/>
      <c r="AF446" s="13"/>
      <c r="AG446" s="13"/>
      <c r="AH446" s="13"/>
      <c r="AI446" s="13"/>
      <c r="AJ446" s="13"/>
      <c r="AK446" s="13"/>
      <c r="AL446" s="13"/>
    </row>
    <row r="447" spans="31:38">
      <c r="AE447" s="13"/>
      <c r="AF447" s="13"/>
      <c r="AG447" s="13"/>
      <c r="AH447" s="13"/>
      <c r="AI447" s="13"/>
      <c r="AJ447" s="13"/>
      <c r="AK447" s="13"/>
      <c r="AL447" s="13"/>
    </row>
    <row r="448" spans="31:38">
      <c r="AE448" s="13"/>
      <c r="AF448" s="13"/>
      <c r="AG448" s="13"/>
      <c r="AH448" s="13"/>
      <c r="AI448" s="13"/>
      <c r="AJ448" s="13"/>
      <c r="AK448" s="13"/>
      <c r="AL448" s="13"/>
    </row>
    <row r="449" spans="31:38">
      <c r="AE449" s="13"/>
      <c r="AF449" s="13"/>
      <c r="AG449" s="13"/>
      <c r="AH449" s="13"/>
      <c r="AI449" s="13"/>
      <c r="AJ449" s="13"/>
      <c r="AK449" s="13"/>
      <c r="AL449" s="13"/>
    </row>
    <row r="450" spans="31:38">
      <c r="AE450" s="13"/>
      <c r="AF450" s="13"/>
      <c r="AG450" s="13"/>
      <c r="AH450" s="13"/>
      <c r="AI450" s="13"/>
      <c r="AJ450" s="13"/>
      <c r="AK450" s="13"/>
      <c r="AL450" s="13"/>
    </row>
    <row r="451" spans="31:38">
      <c r="AE451" s="13"/>
      <c r="AF451" s="13"/>
      <c r="AG451" s="13"/>
      <c r="AH451" s="13"/>
      <c r="AI451" s="13"/>
      <c r="AJ451" s="13"/>
      <c r="AK451" s="13"/>
      <c r="AL451" s="13"/>
    </row>
    <row r="452" spans="31:38">
      <c r="AE452" s="13"/>
      <c r="AF452" s="13"/>
      <c r="AG452" s="13"/>
      <c r="AH452" s="13"/>
      <c r="AI452" s="13"/>
      <c r="AJ452" s="13"/>
      <c r="AK452" s="13"/>
      <c r="AL452" s="13"/>
    </row>
    <row r="453" spans="31:38">
      <c r="AE453" s="13"/>
      <c r="AF453" s="13"/>
      <c r="AG453" s="13"/>
      <c r="AH453" s="13"/>
      <c r="AI453" s="13"/>
      <c r="AJ453" s="13"/>
      <c r="AK453" s="13"/>
      <c r="AL453" s="13"/>
    </row>
    <row r="454" spans="31:38">
      <c r="AE454" s="13"/>
      <c r="AF454" s="13"/>
      <c r="AG454" s="13"/>
      <c r="AH454" s="13"/>
      <c r="AI454" s="13"/>
      <c r="AJ454" s="13"/>
      <c r="AK454" s="13"/>
      <c r="AL454" s="13"/>
    </row>
    <row r="455" spans="31:38">
      <c r="AE455" s="13"/>
      <c r="AF455" s="13"/>
      <c r="AG455" s="13"/>
      <c r="AH455" s="13"/>
      <c r="AI455" s="13"/>
      <c r="AJ455" s="13"/>
      <c r="AK455" s="13"/>
      <c r="AL455" s="13"/>
    </row>
    <row r="456" spans="31:38">
      <c r="AE456" s="13"/>
      <c r="AF456" s="13"/>
      <c r="AG456" s="13"/>
      <c r="AH456" s="13"/>
      <c r="AI456" s="13"/>
      <c r="AJ456" s="13"/>
      <c r="AK456" s="13"/>
      <c r="AL456" s="13"/>
    </row>
    <row r="457" spans="31:38">
      <c r="AE457" s="13"/>
      <c r="AF457" s="13"/>
      <c r="AG457" s="13"/>
      <c r="AH457" s="13"/>
      <c r="AI457" s="13"/>
      <c r="AJ457" s="13"/>
      <c r="AK457" s="13"/>
      <c r="AL457" s="13"/>
    </row>
    <row r="458" spans="31:38">
      <c r="AE458" s="13"/>
      <c r="AF458" s="13"/>
      <c r="AG458" s="13"/>
      <c r="AH458" s="13"/>
      <c r="AI458" s="13"/>
      <c r="AJ458" s="13"/>
      <c r="AK458" s="13"/>
      <c r="AL458" s="13"/>
    </row>
    <row r="459" spans="31:38">
      <c r="AE459" s="13"/>
      <c r="AF459" s="13"/>
      <c r="AG459" s="13"/>
      <c r="AH459" s="13"/>
      <c r="AI459" s="13"/>
      <c r="AJ459" s="13"/>
      <c r="AK459" s="13"/>
      <c r="AL459" s="13"/>
    </row>
    <row r="460" spans="31:38">
      <c r="AE460" s="13"/>
      <c r="AF460" s="13"/>
      <c r="AG460" s="13"/>
      <c r="AH460" s="13"/>
      <c r="AI460" s="13"/>
      <c r="AJ460" s="13"/>
      <c r="AK460" s="13"/>
      <c r="AL460" s="13"/>
    </row>
    <row r="461" spans="31:38">
      <c r="AE461" s="13"/>
      <c r="AF461" s="13"/>
      <c r="AG461" s="13"/>
      <c r="AH461" s="13"/>
      <c r="AI461" s="13"/>
      <c r="AJ461" s="13"/>
      <c r="AK461" s="13"/>
      <c r="AL461" s="13"/>
    </row>
    <row r="462" spans="31:38">
      <c r="AE462" s="13"/>
      <c r="AF462" s="13"/>
      <c r="AG462" s="13"/>
      <c r="AH462" s="13"/>
      <c r="AI462" s="13"/>
      <c r="AJ462" s="13"/>
      <c r="AK462" s="13"/>
      <c r="AL462" s="13"/>
    </row>
    <row r="463" spans="31:38">
      <c r="AE463" s="13"/>
      <c r="AF463" s="13"/>
      <c r="AG463" s="13"/>
      <c r="AH463" s="13"/>
      <c r="AI463" s="13"/>
      <c r="AJ463" s="13"/>
      <c r="AK463" s="13"/>
      <c r="AL463" s="13"/>
    </row>
    <row r="464" spans="31:38">
      <c r="AE464" s="13"/>
      <c r="AF464" s="13"/>
      <c r="AG464" s="13"/>
      <c r="AH464" s="13"/>
      <c r="AI464" s="13"/>
      <c r="AJ464" s="13"/>
      <c r="AK464" s="13"/>
      <c r="AL464" s="13"/>
    </row>
    <row r="465" spans="31:38">
      <c r="AE465" s="13"/>
      <c r="AF465" s="13"/>
      <c r="AG465" s="13"/>
      <c r="AH465" s="13"/>
      <c r="AI465" s="13"/>
      <c r="AJ465" s="13"/>
      <c r="AK465" s="13"/>
      <c r="AL465" s="13"/>
    </row>
    <row r="466" spans="31:38">
      <c r="AE466" s="13"/>
      <c r="AF466" s="13"/>
      <c r="AG466" s="13"/>
      <c r="AH466" s="13"/>
      <c r="AI466" s="13"/>
      <c r="AJ466" s="13"/>
      <c r="AK466" s="13"/>
      <c r="AL466" s="13"/>
    </row>
    <row r="467" spans="31:38">
      <c r="AE467" s="13"/>
      <c r="AF467" s="13"/>
      <c r="AG467" s="13"/>
      <c r="AH467" s="13"/>
      <c r="AI467" s="13"/>
      <c r="AJ467" s="13"/>
      <c r="AK467" s="13"/>
      <c r="AL467" s="13"/>
    </row>
    <row r="468" spans="31:38">
      <c r="AE468" s="13"/>
      <c r="AF468" s="13"/>
      <c r="AG468" s="13"/>
      <c r="AH468" s="13"/>
      <c r="AI468" s="13"/>
      <c r="AJ468" s="13"/>
      <c r="AK468" s="13"/>
      <c r="AL468" s="13"/>
    </row>
    <row r="469" spans="31:38">
      <c r="AE469" s="13"/>
      <c r="AF469" s="13"/>
      <c r="AG469" s="13"/>
      <c r="AH469" s="13"/>
      <c r="AI469" s="13"/>
      <c r="AJ469" s="13"/>
      <c r="AK469" s="13"/>
      <c r="AL469" s="13"/>
    </row>
    <row r="470" spans="31:38">
      <c r="AE470" s="13"/>
      <c r="AF470" s="13"/>
      <c r="AG470" s="13"/>
      <c r="AH470" s="13"/>
      <c r="AI470" s="13"/>
      <c r="AJ470" s="13"/>
      <c r="AK470" s="13"/>
      <c r="AL470" s="13"/>
    </row>
    <row r="471" spans="31:38">
      <c r="AE471" s="13"/>
      <c r="AF471" s="13"/>
      <c r="AG471" s="13"/>
      <c r="AH471" s="13"/>
      <c r="AI471" s="13"/>
      <c r="AJ471" s="13"/>
      <c r="AK471" s="13"/>
      <c r="AL471" s="13"/>
    </row>
    <row r="472" spans="31:38">
      <c r="AE472" s="13"/>
      <c r="AF472" s="13"/>
      <c r="AG472" s="13"/>
      <c r="AH472" s="13"/>
      <c r="AI472" s="13"/>
      <c r="AJ472" s="13"/>
      <c r="AK472" s="13"/>
      <c r="AL472" s="13"/>
    </row>
    <row r="473" spans="31:38">
      <c r="AE473" s="13"/>
      <c r="AF473" s="13"/>
      <c r="AG473" s="13"/>
      <c r="AH473" s="13"/>
      <c r="AI473" s="13"/>
      <c r="AJ473" s="13"/>
      <c r="AK473" s="13"/>
      <c r="AL473" s="13"/>
    </row>
    <row r="474" spans="31:38">
      <c r="AE474" s="13"/>
      <c r="AF474" s="13"/>
      <c r="AG474" s="13"/>
      <c r="AH474" s="13"/>
      <c r="AI474" s="13"/>
      <c r="AJ474" s="13"/>
      <c r="AK474" s="13"/>
      <c r="AL474" s="13"/>
    </row>
    <row r="475" spans="31:38">
      <c r="AE475" s="13"/>
      <c r="AF475" s="13"/>
      <c r="AG475" s="13"/>
      <c r="AH475" s="13"/>
      <c r="AI475" s="13"/>
      <c r="AJ475" s="13"/>
      <c r="AK475" s="13"/>
      <c r="AL475" s="13"/>
    </row>
    <row r="476" spans="31:38">
      <c r="AE476" s="13"/>
      <c r="AF476" s="13"/>
      <c r="AG476" s="13"/>
      <c r="AH476" s="13"/>
      <c r="AI476" s="13"/>
      <c r="AJ476" s="13"/>
      <c r="AK476" s="13"/>
      <c r="AL476" s="13"/>
    </row>
    <row r="477" spans="31:38">
      <c r="AE477" s="13"/>
      <c r="AF477" s="13"/>
      <c r="AG477" s="13"/>
      <c r="AH477" s="13"/>
      <c r="AI477" s="13"/>
      <c r="AJ477" s="13"/>
      <c r="AK477" s="13"/>
      <c r="AL477" s="13"/>
    </row>
    <row r="478" spans="31:38">
      <c r="AE478" s="13"/>
      <c r="AF478" s="13"/>
      <c r="AG478" s="13"/>
      <c r="AH478" s="13"/>
      <c r="AI478" s="13"/>
      <c r="AJ478" s="13"/>
      <c r="AK478" s="13"/>
      <c r="AL478" s="13"/>
    </row>
    <row r="479" spans="31:38">
      <c r="AE479" s="13"/>
      <c r="AF479" s="13"/>
      <c r="AG479" s="13"/>
      <c r="AH479" s="13"/>
      <c r="AI479" s="13"/>
      <c r="AJ479" s="13"/>
      <c r="AK479" s="13"/>
      <c r="AL479" s="13"/>
    </row>
    <row r="480" spans="31:38">
      <c r="AE480" s="13"/>
      <c r="AF480" s="13"/>
      <c r="AG480" s="13"/>
      <c r="AH480" s="13"/>
      <c r="AI480" s="13"/>
      <c r="AJ480" s="13"/>
      <c r="AK480" s="13"/>
      <c r="AL480" s="13"/>
    </row>
    <row r="481" spans="31:38">
      <c r="AE481" s="13"/>
      <c r="AF481" s="13"/>
      <c r="AG481" s="13"/>
      <c r="AH481" s="13"/>
      <c r="AI481" s="13"/>
      <c r="AJ481" s="13"/>
      <c r="AK481" s="13"/>
      <c r="AL481" s="13"/>
    </row>
    <row r="482" spans="31:38">
      <c r="AE482" s="13"/>
      <c r="AF482" s="13"/>
      <c r="AG482" s="13"/>
      <c r="AH482" s="13"/>
      <c r="AI482" s="13"/>
      <c r="AJ482" s="13"/>
      <c r="AK482" s="13"/>
      <c r="AL482" s="13"/>
    </row>
    <row r="483" spans="31:38">
      <c r="AE483" s="13"/>
      <c r="AF483" s="13"/>
      <c r="AG483" s="13"/>
      <c r="AH483" s="13"/>
      <c r="AI483" s="13"/>
      <c r="AJ483" s="13"/>
      <c r="AK483" s="13"/>
      <c r="AL483" s="13"/>
    </row>
    <row r="484" spans="31:38">
      <c r="AE484" s="13"/>
      <c r="AF484" s="13"/>
      <c r="AG484" s="13"/>
      <c r="AH484" s="13"/>
      <c r="AI484" s="13"/>
      <c r="AJ484" s="13"/>
      <c r="AK484" s="13"/>
      <c r="AL484" s="13"/>
    </row>
    <row r="485" spans="31:38">
      <c r="AE485" s="13"/>
      <c r="AF485" s="13"/>
      <c r="AG485" s="13"/>
      <c r="AH485" s="13"/>
      <c r="AI485" s="13"/>
      <c r="AJ485" s="13"/>
      <c r="AK485" s="13"/>
      <c r="AL485" s="13"/>
    </row>
    <row r="486" spans="31:38">
      <c r="AE486" s="13"/>
      <c r="AF486" s="13"/>
      <c r="AG486" s="13"/>
      <c r="AH486" s="13"/>
      <c r="AI486" s="13"/>
      <c r="AJ486" s="13"/>
      <c r="AK486" s="13"/>
      <c r="AL486" s="13"/>
    </row>
    <row r="487" spans="31:38">
      <c r="AE487" s="13"/>
      <c r="AF487" s="13"/>
      <c r="AG487" s="13"/>
      <c r="AH487" s="13"/>
      <c r="AI487" s="13"/>
      <c r="AJ487" s="13"/>
      <c r="AK487" s="13"/>
      <c r="AL487" s="13"/>
    </row>
    <row r="488" spans="31:38">
      <c r="AE488" s="13"/>
      <c r="AF488" s="13"/>
      <c r="AG488" s="13"/>
      <c r="AH488" s="13"/>
      <c r="AI488" s="13"/>
      <c r="AJ488" s="13"/>
      <c r="AK488" s="13"/>
      <c r="AL488" s="13"/>
    </row>
    <row r="489" spans="31:38">
      <c r="AE489" s="13"/>
      <c r="AF489" s="13"/>
      <c r="AG489" s="13"/>
      <c r="AH489" s="13"/>
      <c r="AI489" s="13"/>
      <c r="AJ489" s="13"/>
      <c r="AK489" s="13"/>
      <c r="AL489" s="13"/>
    </row>
    <row r="490" spans="31:38">
      <c r="AE490" s="13"/>
      <c r="AF490" s="13"/>
      <c r="AG490" s="13"/>
      <c r="AH490" s="13"/>
      <c r="AI490" s="13"/>
      <c r="AJ490" s="13"/>
      <c r="AK490" s="13"/>
      <c r="AL490" s="13"/>
    </row>
    <row r="491" spans="31:38">
      <c r="AE491" s="13"/>
      <c r="AF491" s="13"/>
      <c r="AG491" s="13"/>
      <c r="AH491" s="13"/>
      <c r="AI491" s="13"/>
      <c r="AJ491" s="13"/>
      <c r="AK491" s="13"/>
      <c r="AL491" s="13"/>
    </row>
    <row r="492" spans="31:38">
      <c r="AE492" s="13"/>
      <c r="AF492" s="13"/>
      <c r="AG492" s="13"/>
      <c r="AH492" s="13"/>
      <c r="AI492" s="13"/>
      <c r="AJ492" s="13"/>
      <c r="AK492" s="13"/>
      <c r="AL492" s="13"/>
    </row>
    <row r="493" spans="31:38">
      <c r="AE493" s="13"/>
      <c r="AF493" s="13"/>
      <c r="AG493" s="13"/>
      <c r="AH493" s="13"/>
      <c r="AI493" s="13"/>
      <c r="AJ493" s="13"/>
      <c r="AK493" s="13"/>
      <c r="AL493" s="13"/>
    </row>
    <row r="494" spans="31:38">
      <c r="AE494" s="13"/>
      <c r="AF494" s="13"/>
      <c r="AG494" s="13"/>
      <c r="AH494" s="13"/>
      <c r="AI494" s="13"/>
      <c r="AJ494" s="13"/>
      <c r="AK494" s="13"/>
      <c r="AL494" s="13"/>
    </row>
    <row r="495" spans="31:38">
      <c r="AE495" s="13"/>
      <c r="AF495" s="13"/>
      <c r="AG495" s="13"/>
      <c r="AH495" s="13"/>
      <c r="AI495" s="13"/>
      <c r="AJ495" s="13"/>
      <c r="AK495" s="13"/>
      <c r="AL495" s="13"/>
    </row>
    <row r="496" spans="31:38">
      <c r="AE496" s="13"/>
      <c r="AF496" s="13"/>
      <c r="AG496" s="13"/>
      <c r="AH496" s="13"/>
      <c r="AI496" s="13"/>
      <c r="AJ496" s="13"/>
      <c r="AK496" s="13"/>
      <c r="AL496" s="13"/>
    </row>
    <row r="497" spans="31:38">
      <c r="AE497" s="13"/>
      <c r="AF497" s="13"/>
      <c r="AG497" s="13"/>
      <c r="AH497" s="13"/>
      <c r="AI497" s="13"/>
      <c r="AJ497" s="13"/>
      <c r="AK497" s="13"/>
      <c r="AL497" s="13"/>
    </row>
    <row r="498" spans="31:38">
      <c r="AE498" s="13"/>
      <c r="AF498" s="13"/>
      <c r="AG498" s="13"/>
      <c r="AH498" s="13"/>
      <c r="AI498" s="13"/>
      <c r="AJ498" s="13"/>
      <c r="AK498" s="13"/>
      <c r="AL498" s="13"/>
    </row>
    <row r="499" spans="31:38">
      <c r="AE499" s="13"/>
      <c r="AF499" s="13"/>
      <c r="AG499" s="13"/>
      <c r="AH499" s="13"/>
      <c r="AI499" s="13"/>
      <c r="AJ499" s="13"/>
      <c r="AK499" s="13"/>
      <c r="AL499" s="13"/>
    </row>
    <row r="500" spans="31:38">
      <c r="AE500" s="13"/>
      <c r="AF500" s="13"/>
      <c r="AG500" s="13"/>
      <c r="AH500" s="13"/>
      <c r="AI500" s="13"/>
      <c r="AJ500" s="13"/>
      <c r="AK500" s="13"/>
      <c r="AL500" s="13"/>
    </row>
    <row r="501" spans="31:38">
      <c r="AE501" s="13"/>
      <c r="AF501" s="13"/>
      <c r="AG501" s="13"/>
      <c r="AH501" s="13"/>
      <c r="AI501" s="13"/>
      <c r="AJ501" s="13"/>
      <c r="AK501" s="13"/>
      <c r="AL501" s="13"/>
    </row>
    <row r="502" spans="31:38">
      <c r="AE502" s="13"/>
      <c r="AF502" s="13"/>
      <c r="AG502" s="13"/>
      <c r="AH502" s="13"/>
      <c r="AI502" s="13"/>
      <c r="AJ502" s="13"/>
      <c r="AK502" s="13"/>
      <c r="AL502" s="13"/>
    </row>
    <row r="503" spans="31:38">
      <c r="AE503" s="13"/>
      <c r="AF503" s="13"/>
      <c r="AG503" s="13"/>
      <c r="AH503" s="13"/>
      <c r="AI503" s="13"/>
      <c r="AJ503" s="13"/>
      <c r="AK503" s="13"/>
      <c r="AL503" s="13"/>
    </row>
    <row r="504" spans="31:38">
      <c r="AE504" s="13"/>
      <c r="AF504" s="13"/>
      <c r="AG504" s="13"/>
      <c r="AH504" s="13"/>
      <c r="AI504" s="13"/>
      <c r="AJ504" s="13"/>
      <c r="AK504" s="13"/>
      <c r="AL504" s="13"/>
    </row>
    <row r="505" spans="31:38">
      <c r="AE505" s="13"/>
      <c r="AF505" s="13"/>
      <c r="AG505" s="13"/>
      <c r="AH505" s="13"/>
      <c r="AI505" s="13"/>
      <c r="AJ505" s="13"/>
      <c r="AK505" s="13"/>
      <c r="AL505" s="13"/>
    </row>
    <row r="506" spans="31:38">
      <c r="AE506" s="13"/>
      <c r="AF506" s="13"/>
      <c r="AG506" s="13"/>
      <c r="AH506" s="13"/>
      <c r="AI506" s="13"/>
      <c r="AJ506" s="13"/>
      <c r="AK506" s="13"/>
      <c r="AL506" s="13"/>
    </row>
    <row r="507" spans="31:38">
      <c r="AE507" s="13"/>
      <c r="AF507" s="13"/>
      <c r="AG507" s="13"/>
      <c r="AH507" s="13"/>
      <c r="AI507" s="13"/>
      <c r="AJ507" s="13"/>
      <c r="AK507" s="13"/>
      <c r="AL507" s="13"/>
    </row>
    <row r="508" spans="31:38">
      <c r="AE508" s="13"/>
      <c r="AF508" s="13"/>
      <c r="AG508" s="13"/>
      <c r="AH508" s="13"/>
      <c r="AI508" s="13"/>
      <c r="AJ508" s="13"/>
      <c r="AK508" s="13"/>
      <c r="AL508" s="13"/>
    </row>
    <row r="509" spans="31:38">
      <c r="AE509" s="13"/>
      <c r="AF509" s="13"/>
      <c r="AG509" s="13"/>
      <c r="AH509" s="13"/>
      <c r="AI509" s="13"/>
      <c r="AJ509" s="13"/>
      <c r="AK509" s="13"/>
      <c r="AL509" s="13"/>
    </row>
    <row r="510" spans="31:38">
      <c r="AE510" s="13"/>
      <c r="AF510" s="13"/>
      <c r="AG510" s="13"/>
      <c r="AH510" s="13"/>
      <c r="AI510" s="13"/>
      <c r="AJ510" s="13"/>
      <c r="AK510" s="13"/>
      <c r="AL510" s="13"/>
    </row>
    <row r="511" spans="31:38">
      <c r="AE511" s="13"/>
      <c r="AF511" s="13"/>
      <c r="AG511" s="13"/>
      <c r="AH511" s="13"/>
      <c r="AI511" s="13"/>
      <c r="AJ511" s="13"/>
      <c r="AK511" s="13"/>
      <c r="AL511" s="13"/>
    </row>
    <row r="512" spans="31:38">
      <c r="AE512" s="13"/>
      <c r="AF512" s="13"/>
      <c r="AG512" s="13"/>
      <c r="AH512" s="13"/>
      <c r="AI512" s="13"/>
      <c r="AJ512" s="13"/>
      <c r="AK512" s="13"/>
      <c r="AL512" s="13"/>
    </row>
    <row r="513" spans="31:38">
      <c r="AE513" s="13"/>
      <c r="AF513" s="13"/>
      <c r="AG513" s="13"/>
      <c r="AH513" s="13"/>
      <c r="AI513" s="13"/>
      <c r="AJ513" s="13"/>
      <c r="AK513" s="13"/>
      <c r="AL513" s="13"/>
    </row>
    <row r="514" spans="31:38">
      <c r="AE514" s="13"/>
      <c r="AF514" s="13"/>
      <c r="AG514" s="13"/>
      <c r="AH514" s="13"/>
      <c r="AI514" s="13"/>
      <c r="AJ514" s="13"/>
      <c r="AK514" s="13"/>
      <c r="AL514" s="13"/>
    </row>
    <row r="515" spans="31:38">
      <c r="AE515" s="13"/>
      <c r="AF515" s="13"/>
      <c r="AG515" s="13"/>
      <c r="AH515" s="13"/>
      <c r="AI515" s="13"/>
      <c r="AJ515" s="13"/>
      <c r="AK515" s="13"/>
      <c r="AL515" s="13"/>
    </row>
    <row r="516" spans="31:38">
      <c r="AE516" s="13"/>
      <c r="AF516" s="13"/>
      <c r="AG516" s="13"/>
      <c r="AH516" s="13"/>
      <c r="AI516" s="13"/>
      <c r="AJ516" s="13"/>
      <c r="AK516" s="13"/>
      <c r="AL516" s="13"/>
    </row>
    <row r="517" spans="31:38">
      <c r="AE517" s="13"/>
      <c r="AF517" s="13"/>
      <c r="AG517" s="13"/>
      <c r="AH517" s="13"/>
      <c r="AI517" s="13"/>
      <c r="AJ517" s="13"/>
      <c r="AK517" s="13"/>
      <c r="AL517" s="13"/>
    </row>
    <row r="518" spans="31:38">
      <c r="AE518" s="13"/>
      <c r="AF518" s="13"/>
      <c r="AG518" s="13"/>
      <c r="AH518" s="13"/>
      <c r="AI518" s="13"/>
      <c r="AJ518" s="13"/>
      <c r="AK518" s="13"/>
      <c r="AL518" s="13"/>
    </row>
    <row r="519" spans="31:38">
      <c r="AE519" s="13"/>
      <c r="AF519" s="13"/>
      <c r="AG519" s="13"/>
      <c r="AH519" s="13"/>
      <c r="AI519" s="13"/>
      <c r="AJ519" s="13"/>
      <c r="AK519" s="13"/>
      <c r="AL519" s="13"/>
    </row>
    <row r="520" spans="31:38">
      <c r="AE520" s="13"/>
      <c r="AF520" s="13"/>
      <c r="AG520" s="13"/>
      <c r="AH520" s="13"/>
      <c r="AI520" s="13"/>
      <c r="AJ520" s="13"/>
      <c r="AK520" s="13"/>
      <c r="AL520" s="13"/>
    </row>
    <row r="521" spans="31:38">
      <c r="AE521" s="13"/>
      <c r="AF521" s="13"/>
      <c r="AG521" s="13"/>
      <c r="AH521" s="13"/>
      <c r="AI521" s="13"/>
      <c r="AJ521" s="13"/>
      <c r="AK521" s="13"/>
      <c r="AL521" s="13"/>
    </row>
    <row r="522" spans="31:38">
      <c r="AE522" s="13"/>
      <c r="AF522" s="13"/>
      <c r="AG522" s="13"/>
      <c r="AH522" s="13"/>
      <c r="AI522" s="13"/>
      <c r="AJ522" s="13"/>
      <c r="AK522" s="13"/>
      <c r="AL522" s="13"/>
    </row>
    <row r="523" spans="31:38">
      <c r="AE523" s="13"/>
      <c r="AF523" s="13"/>
      <c r="AG523" s="13"/>
      <c r="AH523" s="13"/>
      <c r="AI523" s="13"/>
      <c r="AJ523" s="13"/>
      <c r="AK523" s="13"/>
      <c r="AL523" s="13"/>
    </row>
    <row r="524" spans="31:38">
      <c r="AE524" s="13"/>
      <c r="AF524" s="13"/>
      <c r="AG524" s="13"/>
      <c r="AH524" s="13"/>
      <c r="AI524" s="13"/>
      <c r="AJ524" s="13"/>
      <c r="AK524" s="13"/>
      <c r="AL524" s="13"/>
    </row>
    <row r="525" spans="31:38">
      <c r="AE525" s="13"/>
      <c r="AF525" s="13"/>
      <c r="AG525" s="13"/>
      <c r="AH525" s="13"/>
      <c r="AI525" s="13"/>
      <c r="AJ525" s="13"/>
      <c r="AK525" s="13"/>
      <c r="AL525" s="13"/>
    </row>
    <row r="526" spans="31:38">
      <c r="AE526" s="13"/>
      <c r="AF526" s="13"/>
      <c r="AG526" s="13"/>
      <c r="AH526" s="13"/>
      <c r="AI526" s="13"/>
      <c r="AJ526" s="13"/>
      <c r="AK526" s="13"/>
      <c r="AL526" s="13"/>
    </row>
    <row r="527" spans="31:38">
      <c r="AE527" s="13"/>
      <c r="AF527" s="13"/>
      <c r="AG527" s="13"/>
      <c r="AH527" s="13"/>
      <c r="AI527" s="13"/>
      <c r="AJ527" s="13"/>
      <c r="AK527" s="13"/>
      <c r="AL527" s="13"/>
    </row>
    <row r="528" spans="31:38">
      <c r="AE528" s="13"/>
      <c r="AF528" s="13"/>
      <c r="AG528" s="13"/>
      <c r="AH528" s="13"/>
      <c r="AI528" s="13"/>
      <c r="AJ528" s="13"/>
      <c r="AK528" s="13"/>
      <c r="AL528" s="13"/>
    </row>
    <row r="529" spans="31:38">
      <c r="AE529" s="13"/>
      <c r="AF529" s="13"/>
      <c r="AG529" s="13"/>
      <c r="AH529" s="13"/>
      <c r="AI529" s="13"/>
      <c r="AJ529" s="13"/>
      <c r="AK529" s="13"/>
      <c r="AL529" s="13"/>
    </row>
    <row r="530" spans="31:38">
      <c r="AE530" s="13"/>
      <c r="AF530" s="13"/>
      <c r="AG530" s="13"/>
      <c r="AH530" s="13"/>
      <c r="AI530" s="13"/>
      <c r="AJ530" s="13"/>
      <c r="AK530" s="13"/>
      <c r="AL530" s="13"/>
    </row>
    <row r="531" spans="31:38">
      <c r="AE531" s="13"/>
      <c r="AF531" s="13"/>
      <c r="AG531" s="13"/>
      <c r="AH531" s="13"/>
      <c r="AI531" s="13"/>
      <c r="AJ531" s="13"/>
      <c r="AK531" s="13"/>
      <c r="AL531" s="13"/>
    </row>
    <row r="532" spans="31:38">
      <c r="AE532" s="13"/>
      <c r="AF532" s="13"/>
      <c r="AG532" s="13"/>
      <c r="AH532" s="13"/>
      <c r="AI532" s="13"/>
      <c r="AJ532" s="13"/>
      <c r="AK532" s="13"/>
      <c r="AL532" s="13"/>
    </row>
    <row r="533" spans="31:38">
      <c r="AE533" s="13"/>
      <c r="AF533" s="13"/>
      <c r="AG533" s="13"/>
      <c r="AH533" s="13"/>
      <c r="AI533" s="13"/>
      <c r="AJ533" s="13"/>
      <c r="AK533" s="13"/>
      <c r="AL533" s="13"/>
    </row>
    <row r="534" spans="31:38">
      <c r="AE534" s="13"/>
      <c r="AF534" s="13"/>
      <c r="AG534" s="13"/>
      <c r="AH534" s="13"/>
      <c r="AI534" s="13"/>
      <c r="AJ534" s="13"/>
      <c r="AK534" s="13"/>
      <c r="AL534" s="13"/>
    </row>
    <row r="535" spans="31:38">
      <c r="AE535" s="13"/>
      <c r="AF535" s="13"/>
      <c r="AG535" s="13"/>
      <c r="AH535" s="13"/>
      <c r="AI535" s="13"/>
      <c r="AJ535" s="13"/>
      <c r="AK535" s="13"/>
      <c r="AL535" s="13"/>
    </row>
    <row r="536" spans="31:38">
      <c r="AE536" s="13"/>
      <c r="AF536" s="13"/>
      <c r="AG536" s="13"/>
      <c r="AH536" s="13"/>
      <c r="AI536" s="13"/>
      <c r="AJ536" s="13"/>
      <c r="AK536" s="13"/>
      <c r="AL536" s="13"/>
    </row>
    <row r="537" spans="31:38">
      <c r="AE537" s="13"/>
      <c r="AF537" s="13"/>
      <c r="AG537" s="13"/>
      <c r="AH537" s="13"/>
      <c r="AI537" s="13"/>
      <c r="AJ537" s="13"/>
      <c r="AK537" s="13"/>
      <c r="AL537" s="13"/>
    </row>
    <row r="538" spans="31:38">
      <c r="AE538" s="13"/>
      <c r="AF538" s="13"/>
      <c r="AG538" s="13"/>
      <c r="AH538" s="13"/>
      <c r="AI538" s="13"/>
      <c r="AJ538" s="13"/>
      <c r="AK538" s="13"/>
      <c r="AL538" s="13"/>
    </row>
    <row r="539" spans="31:38">
      <c r="AE539" s="13"/>
      <c r="AF539" s="13"/>
      <c r="AG539" s="13"/>
      <c r="AH539" s="13"/>
      <c r="AI539" s="13"/>
      <c r="AJ539" s="13"/>
      <c r="AK539" s="13"/>
      <c r="AL539" s="13"/>
    </row>
    <row r="540" spans="31:38">
      <c r="AE540" s="13"/>
      <c r="AF540" s="13"/>
      <c r="AG540" s="13"/>
      <c r="AH540" s="13"/>
      <c r="AI540" s="13"/>
      <c r="AJ540" s="13"/>
      <c r="AK540" s="13"/>
      <c r="AL540" s="13"/>
    </row>
    <row r="541" spans="31:38">
      <c r="AE541" s="13"/>
      <c r="AF541" s="13"/>
      <c r="AG541" s="13"/>
      <c r="AH541" s="13"/>
      <c r="AI541" s="13"/>
      <c r="AJ541" s="13"/>
      <c r="AK541" s="13"/>
      <c r="AL541" s="13"/>
    </row>
    <row r="542" spans="31:38">
      <c r="AE542" s="13"/>
      <c r="AF542" s="13"/>
      <c r="AG542" s="13"/>
      <c r="AH542" s="13"/>
      <c r="AI542" s="13"/>
      <c r="AJ542" s="13"/>
      <c r="AK542" s="13"/>
      <c r="AL542" s="13"/>
    </row>
    <row r="543" spans="31:38">
      <c r="AE543" s="13"/>
      <c r="AF543" s="13"/>
      <c r="AG543" s="13"/>
      <c r="AH543" s="13"/>
      <c r="AI543" s="13"/>
      <c r="AJ543" s="13"/>
      <c r="AK543" s="13"/>
      <c r="AL543" s="13"/>
    </row>
    <row r="544" spans="31:38">
      <c r="AE544" s="13"/>
      <c r="AF544" s="13"/>
      <c r="AG544" s="13"/>
      <c r="AH544" s="13"/>
      <c r="AI544" s="13"/>
      <c r="AJ544" s="13"/>
      <c r="AK544" s="13"/>
      <c r="AL544" s="13"/>
    </row>
    <row r="545" spans="31:38">
      <c r="AE545" s="13"/>
      <c r="AF545" s="13"/>
      <c r="AG545" s="13"/>
      <c r="AH545" s="13"/>
      <c r="AI545" s="13"/>
      <c r="AJ545" s="13"/>
      <c r="AK545" s="13"/>
      <c r="AL545" s="13"/>
    </row>
    <row r="546" spans="31:38">
      <c r="AE546" s="13"/>
      <c r="AF546" s="13"/>
      <c r="AG546" s="13"/>
      <c r="AH546" s="13"/>
      <c r="AI546" s="13"/>
      <c r="AJ546" s="13"/>
      <c r="AK546" s="13"/>
      <c r="AL546" s="13"/>
    </row>
    <row r="547" spans="31:38">
      <c r="AE547" s="13"/>
      <c r="AF547" s="13"/>
      <c r="AG547" s="13"/>
      <c r="AH547" s="13"/>
      <c r="AI547" s="13"/>
      <c r="AJ547" s="13"/>
      <c r="AK547" s="13"/>
      <c r="AL547" s="13"/>
    </row>
    <row r="548" spans="31:38">
      <c r="AE548" s="13"/>
      <c r="AF548" s="13"/>
      <c r="AG548" s="13"/>
      <c r="AH548" s="13"/>
      <c r="AI548" s="13"/>
      <c r="AJ548" s="13"/>
      <c r="AK548" s="13"/>
      <c r="AL548" s="13"/>
    </row>
    <row r="549" spans="31:38">
      <c r="AE549" s="13"/>
      <c r="AF549" s="13"/>
      <c r="AG549" s="13"/>
      <c r="AH549" s="13"/>
      <c r="AI549" s="13"/>
      <c r="AJ549" s="13"/>
      <c r="AK549" s="13"/>
      <c r="AL549" s="13"/>
    </row>
    <row r="550" spans="31:38">
      <c r="AE550" s="13"/>
      <c r="AF550" s="13"/>
      <c r="AG550" s="13"/>
      <c r="AH550" s="13"/>
      <c r="AI550" s="13"/>
      <c r="AJ550" s="13"/>
      <c r="AK550" s="13"/>
      <c r="AL550" s="13"/>
    </row>
    <row r="551" spans="31:38">
      <c r="AE551" s="13"/>
      <c r="AF551" s="13"/>
      <c r="AG551" s="13"/>
      <c r="AH551" s="13"/>
      <c r="AI551" s="13"/>
      <c r="AJ551" s="13"/>
      <c r="AK551" s="13"/>
      <c r="AL551" s="13"/>
    </row>
    <row r="552" spans="31:38">
      <c r="AE552" s="13"/>
      <c r="AF552" s="13"/>
      <c r="AG552" s="13"/>
      <c r="AH552" s="13"/>
      <c r="AI552" s="13"/>
      <c r="AJ552" s="13"/>
      <c r="AK552" s="13"/>
      <c r="AL552" s="13"/>
    </row>
    <row r="553" spans="31:38">
      <c r="AE553" s="13"/>
      <c r="AF553" s="13"/>
      <c r="AG553" s="13"/>
      <c r="AH553" s="13"/>
      <c r="AI553" s="13"/>
      <c r="AJ553" s="13"/>
      <c r="AK553" s="13"/>
      <c r="AL553" s="13"/>
    </row>
    <row r="554" spans="31:38">
      <c r="AE554" s="13"/>
      <c r="AF554" s="13"/>
      <c r="AG554" s="13"/>
      <c r="AH554" s="13"/>
      <c r="AI554" s="13"/>
      <c r="AJ554" s="13"/>
      <c r="AK554" s="13"/>
      <c r="AL554" s="13"/>
    </row>
    <row r="555" spans="31:38">
      <c r="AE555" s="13"/>
      <c r="AF555" s="13"/>
      <c r="AG555" s="13"/>
      <c r="AH555" s="13"/>
      <c r="AI555" s="13"/>
      <c r="AJ555" s="13"/>
      <c r="AK555" s="13"/>
      <c r="AL555" s="13"/>
    </row>
    <row r="556" spans="31:38">
      <c r="AE556" s="13"/>
      <c r="AF556" s="13"/>
      <c r="AG556" s="13"/>
      <c r="AH556" s="13"/>
      <c r="AI556" s="13"/>
      <c r="AJ556" s="13"/>
      <c r="AK556" s="13"/>
      <c r="AL556" s="13"/>
    </row>
    <row r="557" spans="31:38">
      <c r="AE557" s="13"/>
      <c r="AF557" s="13"/>
      <c r="AG557" s="13"/>
      <c r="AH557" s="13"/>
      <c r="AI557" s="13"/>
      <c r="AJ557" s="13"/>
      <c r="AK557" s="13"/>
      <c r="AL557" s="13"/>
    </row>
    <row r="558" spans="31:38">
      <c r="AE558" s="13"/>
      <c r="AF558" s="13"/>
      <c r="AG558" s="13"/>
      <c r="AH558" s="13"/>
      <c r="AI558" s="13"/>
      <c r="AJ558" s="13"/>
      <c r="AK558" s="13"/>
      <c r="AL558" s="13"/>
    </row>
    <row r="559" spans="31:38">
      <c r="AE559" s="13"/>
      <c r="AF559" s="13"/>
      <c r="AG559" s="13"/>
      <c r="AH559" s="13"/>
      <c r="AI559" s="13"/>
      <c r="AJ559" s="13"/>
      <c r="AK559" s="13"/>
      <c r="AL559" s="13"/>
    </row>
    <row r="560" spans="31:38">
      <c r="AE560" s="13"/>
      <c r="AF560" s="13"/>
      <c r="AG560" s="13"/>
      <c r="AH560" s="13"/>
      <c r="AI560" s="13"/>
      <c r="AJ560" s="13"/>
      <c r="AK560" s="13"/>
      <c r="AL560" s="13"/>
    </row>
    <row r="561" spans="31:38">
      <c r="AE561" s="13"/>
      <c r="AF561" s="13"/>
      <c r="AG561" s="13"/>
      <c r="AH561" s="13"/>
      <c r="AI561" s="13"/>
      <c r="AJ561" s="13"/>
      <c r="AK561" s="13"/>
      <c r="AL561" s="13"/>
    </row>
    <row r="562" spans="31:38">
      <c r="AE562" s="13"/>
      <c r="AF562" s="13"/>
      <c r="AG562" s="13"/>
      <c r="AH562" s="13"/>
      <c r="AI562" s="13"/>
      <c r="AJ562" s="13"/>
      <c r="AK562" s="13"/>
      <c r="AL562" s="13"/>
    </row>
    <row r="563" spans="31:38">
      <c r="AE563" s="13"/>
      <c r="AF563" s="13"/>
      <c r="AG563" s="13"/>
      <c r="AH563" s="13"/>
      <c r="AI563" s="13"/>
      <c r="AJ563" s="13"/>
      <c r="AK563" s="13"/>
      <c r="AL563" s="13"/>
    </row>
    <row r="564" spans="31:38">
      <c r="AE564" s="13"/>
      <c r="AF564" s="13"/>
      <c r="AG564" s="13"/>
      <c r="AH564" s="13"/>
      <c r="AI564" s="13"/>
      <c r="AJ564" s="13"/>
      <c r="AK564" s="13"/>
      <c r="AL564" s="13"/>
    </row>
    <row r="565" spans="31:38">
      <c r="AE565" s="13"/>
      <c r="AF565" s="13"/>
      <c r="AG565" s="13"/>
      <c r="AH565" s="13"/>
      <c r="AI565" s="13"/>
      <c r="AJ565" s="13"/>
      <c r="AK565" s="13"/>
      <c r="AL565" s="13"/>
    </row>
    <row r="566" spans="31:38">
      <c r="AE566" s="13"/>
      <c r="AF566" s="13"/>
      <c r="AG566" s="13"/>
      <c r="AH566" s="13"/>
      <c r="AI566" s="13"/>
      <c r="AJ566" s="13"/>
      <c r="AK566" s="13"/>
      <c r="AL566" s="13"/>
    </row>
    <row r="567" spans="31:38">
      <c r="AE567" s="13"/>
      <c r="AF567" s="13"/>
      <c r="AG567" s="13"/>
      <c r="AH567" s="13"/>
      <c r="AI567" s="13"/>
      <c r="AJ567" s="13"/>
      <c r="AK567" s="13"/>
      <c r="AL567" s="13"/>
    </row>
    <row r="568" spans="31:38">
      <c r="AE568" s="13"/>
      <c r="AF568" s="13"/>
      <c r="AG568" s="13"/>
      <c r="AH568" s="13"/>
      <c r="AI568" s="13"/>
      <c r="AJ568" s="13"/>
      <c r="AK568" s="13"/>
      <c r="AL568" s="13"/>
    </row>
    <row r="569" spans="31:38">
      <c r="AE569" s="13"/>
      <c r="AF569" s="13"/>
      <c r="AG569" s="13"/>
      <c r="AH569" s="13"/>
      <c r="AI569" s="13"/>
      <c r="AJ569" s="13"/>
      <c r="AK569" s="13"/>
      <c r="AL569" s="13"/>
    </row>
    <row r="570" spans="31:38">
      <c r="AE570" s="13"/>
      <c r="AF570" s="13"/>
      <c r="AG570" s="13"/>
      <c r="AH570" s="13"/>
      <c r="AI570" s="13"/>
      <c r="AJ570" s="13"/>
      <c r="AK570" s="13"/>
      <c r="AL570" s="13"/>
    </row>
    <row r="571" spans="31:38">
      <c r="AE571" s="13"/>
      <c r="AF571" s="13"/>
      <c r="AG571" s="13"/>
      <c r="AH571" s="13"/>
      <c r="AI571" s="13"/>
      <c r="AJ571" s="13"/>
      <c r="AK571" s="13"/>
      <c r="AL571" s="13"/>
    </row>
    <row r="572" spans="31:38">
      <c r="AE572" s="13"/>
      <c r="AF572" s="13"/>
      <c r="AG572" s="13"/>
      <c r="AH572" s="13"/>
      <c r="AI572" s="13"/>
      <c r="AJ572" s="13"/>
      <c r="AK572" s="13"/>
      <c r="AL572" s="13"/>
    </row>
    <row r="573" spans="31:38">
      <c r="AE573" s="13"/>
      <c r="AF573" s="13"/>
      <c r="AG573" s="13"/>
      <c r="AH573" s="13"/>
      <c r="AI573" s="13"/>
      <c r="AJ573" s="13"/>
      <c r="AK573" s="13"/>
      <c r="AL573" s="13"/>
    </row>
    <row r="574" spans="31:38">
      <c r="AE574" s="13"/>
      <c r="AF574" s="13"/>
      <c r="AG574" s="13"/>
      <c r="AH574" s="13"/>
      <c r="AI574" s="13"/>
      <c r="AJ574" s="13"/>
      <c r="AK574" s="13"/>
      <c r="AL574" s="13"/>
    </row>
    <row r="575" spans="31:38">
      <c r="AE575" s="13"/>
      <c r="AF575" s="13"/>
      <c r="AG575" s="13"/>
      <c r="AH575" s="13"/>
      <c r="AI575" s="13"/>
      <c r="AJ575" s="13"/>
      <c r="AK575" s="13"/>
      <c r="AL575" s="13"/>
    </row>
    <row r="576" spans="31:38">
      <c r="AE576" s="13"/>
      <c r="AF576" s="13"/>
      <c r="AG576" s="13"/>
      <c r="AH576" s="13"/>
      <c r="AI576" s="13"/>
      <c r="AJ576" s="13"/>
      <c r="AK576" s="13"/>
      <c r="AL576" s="13"/>
    </row>
    <row r="577" spans="31:38">
      <c r="AE577" s="13"/>
      <c r="AF577" s="13"/>
      <c r="AG577" s="13"/>
      <c r="AH577" s="13"/>
      <c r="AI577" s="13"/>
      <c r="AJ577" s="13"/>
      <c r="AK577" s="13"/>
      <c r="AL577" s="13"/>
    </row>
    <row r="578" spans="31:38">
      <c r="AE578" s="13"/>
      <c r="AF578" s="13"/>
      <c r="AG578" s="13"/>
      <c r="AH578" s="13"/>
      <c r="AI578" s="13"/>
      <c r="AJ578" s="13"/>
      <c r="AK578" s="13"/>
      <c r="AL578" s="13"/>
    </row>
    <row r="579" spans="31:38">
      <c r="AE579" s="13"/>
      <c r="AF579" s="13"/>
      <c r="AG579" s="13"/>
      <c r="AH579" s="13"/>
      <c r="AI579" s="13"/>
      <c r="AJ579" s="13"/>
      <c r="AK579" s="13"/>
      <c r="AL579" s="13"/>
    </row>
    <row r="580" spans="31:38">
      <c r="AE580" s="13"/>
      <c r="AF580" s="13"/>
      <c r="AG580" s="13"/>
      <c r="AH580" s="13"/>
      <c r="AI580" s="13"/>
      <c r="AJ580" s="13"/>
      <c r="AK580" s="13"/>
      <c r="AL580" s="13"/>
    </row>
    <row r="581" spans="31:38">
      <c r="AE581" s="13"/>
      <c r="AF581" s="13"/>
      <c r="AG581" s="13"/>
      <c r="AH581" s="13"/>
      <c r="AI581" s="13"/>
      <c r="AJ581" s="13"/>
      <c r="AK581" s="13"/>
      <c r="AL581" s="13"/>
    </row>
    <row r="582" spans="31:38">
      <c r="AE582" s="13"/>
      <c r="AF582" s="13"/>
      <c r="AG582" s="13"/>
      <c r="AH582" s="13"/>
      <c r="AI582" s="13"/>
      <c r="AJ582" s="13"/>
      <c r="AK582" s="13"/>
      <c r="AL582" s="13"/>
    </row>
    <row r="583" spans="31:38">
      <c r="AE583" s="13"/>
      <c r="AF583" s="13"/>
      <c r="AG583" s="13"/>
      <c r="AH583" s="13"/>
      <c r="AI583" s="13"/>
      <c r="AJ583" s="13"/>
      <c r="AK583" s="13"/>
      <c r="AL583" s="13"/>
    </row>
    <row r="584" spans="31:38">
      <c r="AE584" s="13"/>
      <c r="AF584" s="13"/>
      <c r="AG584" s="13"/>
      <c r="AH584" s="13"/>
      <c r="AI584" s="13"/>
      <c r="AJ584" s="13"/>
      <c r="AK584" s="13"/>
      <c r="AL584" s="13"/>
    </row>
    <row r="585" spans="31:38">
      <c r="AE585" s="13"/>
      <c r="AF585" s="13"/>
      <c r="AG585" s="13"/>
      <c r="AH585" s="13"/>
      <c r="AI585" s="13"/>
      <c r="AJ585" s="13"/>
      <c r="AK585" s="13"/>
      <c r="AL585" s="13"/>
    </row>
    <row r="586" spans="31:38">
      <c r="AE586" s="13"/>
      <c r="AF586" s="13"/>
      <c r="AG586" s="13"/>
      <c r="AH586" s="13"/>
      <c r="AI586" s="13"/>
      <c r="AJ586" s="13"/>
      <c r="AK586" s="13"/>
      <c r="AL586" s="13"/>
    </row>
    <row r="587" spans="31:38">
      <c r="AE587" s="13"/>
      <c r="AF587" s="13"/>
      <c r="AG587" s="13"/>
      <c r="AH587" s="13"/>
      <c r="AI587" s="13"/>
      <c r="AJ587" s="13"/>
      <c r="AK587" s="13"/>
      <c r="AL587" s="13"/>
    </row>
    <row r="588" spans="31:38">
      <c r="AE588" s="13"/>
      <c r="AF588" s="13"/>
      <c r="AG588" s="13"/>
      <c r="AH588" s="13"/>
      <c r="AI588" s="13"/>
      <c r="AJ588" s="13"/>
      <c r="AK588" s="13"/>
      <c r="AL588" s="13"/>
    </row>
    <row r="589" spans="31:38">
      <c r="AE589" s="13"/>
      <c r="AF589" s="13"/>
      <c r="AG589" s="13"/>
      <c r="AH589" s="13"/>
      <c r="AI589" s="13"/>
      <c r="AJ589" s="13"/>
      <c r="AK589" s="13"/>
      <c r="AL589" s="13"/>
    </row>
    <row r="590" spans="31:38">
      <c r="AE590" s="13"/>
      <c r="AF590" s="13"/>
      <c r="AG590" s="13"/>
      <c r="AH590" s="13"/>
      <c r="AI590" s="13"/>
      <c r="AJ590" s="13"/>
      <c r="AK590" s="13"/>
      <c r="AL590" s="13"/>
    </row>
    <row r="591" spans="31:38">
      <c r="AE591" s="13"/>
      <c r="AF591" s="13"/>
      <c r="AG591" s="13"/>
      <c r="AH591" s="13"/>
      <c r="AI591" s="13"/>
      <c r="AJ591" s="13"/>
      <c r="AK591" s="13"/>
      <c r="AL591" s="13"/>
    </row>
    <row r="592" spans="31:38">
      <c r="AE592" s="13"/>
      <c r="AF592" s="13"/>
      <c r="AG592" s="13"/>
      <c r="AH592" s="13"/>
      <c r="AI592" s="13"/>
      <c r="AJ592" s="13"/>
      <c r="AK592" s="13"/>
      <c r="AL592" s="13"/>
    </row>
    <row r="593" spans="31:38">
      <c r="AE593" s="13"/>
      <c r="AF593" s="13"/>
      <c r="AG593" s="13"/>
      <c r="AH593" s="13"/>
      <c r="AI593" s="13"/>
      <c r="AJ593" s="13"/>
      <c r="AK593" s="13"/>
      <c r="AL593" s="13"/>
    </row>
    <row r="594" spans="31:38">
      <c r="AE594" s="13"/>
      <c r="AF594" s="13"/>
      <c r="AG594" s="13"/>
      <c r="AH594" s="13"/>
      <c r="AI594" s="13"/>
      <c r="AJ594" s="13"/>
      <c r="AK594" s="13"/>
      <c r="AL594" s="13"/>
    </row>
    <row r="595" spans="31:38">
      <c r="AE595" s="13"/>
      <c r="AF595" s="13"/>
      <c r="AG595" s="13"/>
      <c r="AH595" s="13"/>
      <c r="AI595" s="13"/>
      <c r="AJ595" s="13"/>
      <c r="AK595" s="13"/>
      <c r="AL595" s="13"/>
    </row>
    <row r="596" spans="31:38">
      <c r="AE596" s="13"/>
      <c r="AF596" s="13"/>
      <c r="AG596" s="13"/>
      <c r="AH596" s="13"/>
      <c r="AI596" s="13"/>
      <c r="AJ596" s="13"/>
      <c r="AK596" s="13"/>
      <c r="AL596" s="13"/>
    </row>
    <row r="597" spans="31:38">
      <c r="AE597" s="13"/>
      <c r="AF597" s="13"/>
      <c r="AG597" s="13"/>
      <c r="AH597" s="13"/>
      <c r="AI597" s="13"/>
      <c r="AJ597" s="13"/>
      <c r="AK597" s="13"/>
      <c r="AL597" s="13"/>
    </row>
    <row r="598" spans="31:38">
      <c r="AE598" s="13"/>
      <c r="AF598" s="13"/>
      <c r="AG598" s="13"/>
      <c r="AH598" s="13"/>
      <c r="AI598" s="13"/>
      <c r="AJ598" s="13"/>
      <c r="AK598" s="13"/>
      <c r="AL598" s="13"/>
    </row>
    <row r="599" spans="31:38">
      <c r="AE599" s="13"/>
      <c r="AF599" s="13"/>
      <c r="AG599" s="13"/>
      <c r="AH599" s="13"/>
      <c r="AI599" s="13"/>
      <c r="AJ599" s="13"/>
      <c r="AK599" s="13"/>
      <c r="AL599" s="13"/>
    </row>
    <row r="600" spans="31:38">
      <c r="AE600" s="13"/>
      <c r="AF600" s="13"/>
      <c r="AG600" s="13"/>
      <c r="AH600" s="13"/>
      <c r="AI600" s="13"/>
      <c r="AJ600" s="13"/>
      <c r="AK600" s="13"/>
      <c r="AL600" s="13"/>
    </row>
    <row r="601" spans="31:38">
      <c r="AE601" s="13"/>
      <c r="AF601" s="13"/>
      <c r="AG601" s="13"/>
      <c r="AH601" s="13"/>
      <c r="AI601" s="13"/>
      <c r="AJ601" s="13"/>
      <c r="AK601" s="13"/>
      <c r="AL601" s="13"/>
    </row>
    <row r="602" spans="31:38">
      <c r="AE602" s="13"/>
      <c r="AF602" s="13"/>
      <c r="AG602" s="13"/>
      <c r="AH602" s="13"/>
      <c r="AI602" s="13"/>
      <c r="AJ602" s="13"/>
      <c r="AK602" s="13"/>
      <c r="AL602" s="13"/>
    </row>
    <row r="603" spans="31:38">
      <c r="AE603" s="13"/>
      <c r="AF603" s="13"/>
      <c r="AG603" s="13"/>
      <c r="AH603" s="13"/>
      <c r="AI603" s="13"/>
      <c r="AJ603" s="13"/>
      <c r="AK603" s="13"/>
      <c r="AL603" s="13"/>
    </row>
    <row r="604" spans="31:38">
      <c r="AE604" s="13"/>
      <c r="AF604" s="13"/>
      <c r="AG604" s="13"/>
      <c r="AH604" s="13"/>
      <c r="AI604" s="13"/>
      <c r="AJ604" s="13"/>
      <c r="AK604" s="13"/>
      <c r="AL604" s="13"/>
    </row>
    <row r="605" spans="31:38">
      <c r="AE605" s="13"/>
      <c r="AF605" s="13"/>
      <c r="AG605" s="13"/>
      <c r="AH605" s="13"/>
      <c r="AI605" s="13"/>
      <c r="AJ605" s="13"/>
      <c r="AK605" s="13"/>
      <c r="AL605" s="13"/>
    </row>
    <row r="606" spans="31:38">
      <c r="AE606" s="13"/>
      <c r="AF606" s="13"/>
      <c r="AG606" s="13"/>
      <c r="AH606" s="13"/>
      <c r="AI606" s="13"/>
      <c r="AJ606" s="13"/>
      <c r="AK606" s="13"/>
      <c r="AL606" s="13"/>
    </row>
    <row r="607" spans="31:38">
      <c r="AE607" s="13"/>
      <c r="AF607" s="13"/>
      <c r="AG607" s="13"/>
      <c r="AH607" s="13"/>
      <c r="AI607" s="13"/>
      <c r="AJ607" s="13"/>
      <c r="AK607" s="13"/>
      <c r="AL607" s="13"/>
    </row>
    <row r="608" spans="31:38">
      <c r="AE608" s="13"/>
      <c r="AF608" s="13"/>
      <c r="AG608" s="13"/>
      <c r="AH608" s="13"/>
      <c r="AI608" s="13"/>
      <c r="AJ608" s="13"/>
      <c r="AK608" s="13"/>
      <c r="AL608" s="13"/>
    </row>
    <row r="609" spans="31:38">
      <c r="AE609" s="13"/>
      <c r="AF609" s="13"/>
      <c r="AG609" s="13"/>
      <c r="AH609" s="13"/>
      <c r="AI609" s="13"/>
      <c r="AJ609" s="13"/>
      <c r="AK609" s="13"/>
      <c r="AL609" s="13"/>
    </row>
    <row r="610" spans="31:38">
      <c r="AE610" s="13"/>
      <c r="AF610" s="13"/>
      <c r="AG610" s="13"/>
      <c r="AH610" s="13"/>
      <c r="AI610" s="13"/>
      <c r="AJ610" s="13"/>
      <c r="AK610" s="13"/>
      <c r="AL610" s="13"/>
    </row>
    <row r="611" spans="31:38">
      <c r="AE611" s="13"/>
      <c r="AF611" s="13"/>
      <c r="AG611" s="13"/>
      <c r="AH611" s="13"/>
      <c r="AI611" s="13"/>
      <c r="AJ611" s="13"/>
      <c r="AK611" s="13"/>
      <c r="AL611" s="13"/>
    </row>
    <row r="612" spans="31:38">
      <c r="AE612" s="13"/>
      <c r="AF612" s="13"/>
      <c r="AG612" s="13"/>
      <c r="AH612" s="13"/>
      <c r="AI612" s="13"/>
      <c r="AJ612" s="13"/>
      <c r="AK612" s="13"/>
      <c r="AL612" s="13"/>
    </row>
    <row r="613" spans="31:38">
      <c r="AE613" s="13"/>
      <c r="AF613" s="13"/>
      <c r="AG613" s="13"/>
      <c r="AH613" s="13"/>
      <c r="AI613" s="13"/>
      <c r="AJ613" s="13"/>
      <c r="AK613" s="13"/>
      <c r="AL613" s="13"/>
    </row>
    <row r="614" spans="31:38">
      <c r="AE614" s="13"/>
      <c r="AF614" s="13"/>
      <c r="AG614" s="13"/>
      <c r="AH614" s="13"/>
      <c r="AI614" s="13"/>
      <c r="AJ614" s="13"/>
      <c r="AK614" s="13"/>
      <c r="AL614" s="13"/>
    </row>
    <row r="615" spans="31:38">
      <c r="AE615" s="13"/>
      <c r="AF615" s="13"/>
      <c r="AG615" s="13"/>
      <c r="AH615" s="13"/>
      <c r="AI615" s="13"/>
      <c r="AJ615" s="13"/>
      <c r="AK615" s="13"/>
      <c r="AL615" s="13"/>
    </row>
    <row r="616" spans="31:38">
      <c r="AE616" s="13"/>
      <c r="AF616" s="13"/>
      <c r="AG616" s="13"/>
      <c r="AH616" s="13"/>
      <c r="AI616" s="13"/>
      <c r="AJ616" s="13"/>
      <c r="AK616" s="13"/>
      <c r="AL616" s="13"/>
    </row>
    <row r="617" spans="31:38">
      <c r="AE617" s="13"/>
      <c r="AF617" s="13"/>
      <c r="AG617" s="13"/>
      <c r="AH617" s="13"/>
      <c r="AI617" s="13"/>
      <c r="AJ617" s="13"/>
      <c r="AK617" s="13"/>
      <c r="AL617" s="13"/>
    </row>
    <row r="618" spans="31:38">
      <c r="AE618" s="13"/>
      <c r="AF618" s="13"/>
      <c r="AG618" s="13"/>
      <c r="AH618" s="13"/>
      <c r="AI618" s="13"/>
      <c r="AJ618" s="13"/>
      <c r="AK618" s="13"/>
      <c r="AL618" s="13"/>
    </row>
    <row r="619" spans="31:38">
      <c r="AE619" s="13"/>
      <c r="AF619" s="13"/>
      <c r="AG619" s="13"/>
      <c r="AH619" s="13"/>
      <c r="AI619" s="13"/>
      <c r="AJ619" s="13"/>
      <c r="AK619" s="13"/>
      <c r="AL619" s="13"/>
    </row>
    <row r="620" spans="31:38">
      <c r="AE620" s="13"/>
      <c r="AF620" s="13"/>
      <c r="AG620" s="13"/>
      <c r="AH620" s="13"/>
      <c r="AI620" s="13"/>
      <c r="AJ620" s="13"/>
      <c r="AK620" s="13"/>
      <c r="AL620" s="13"/>
    </row>
    <row r="621" spans="31:38">
      <c r="AE621" s="13"/>
      <c r="AF621" s="13"/>
      <c r="AG621" s="13"/>
      <c r="AH621" s="13"/>
      <c r="AI621" s="13"/>
      <c r="AJ621" s="13"/>
      <c r="AK621" s="13"/>
      <c r="AL621" s="13"/>
    </row>
    <row r="622" spans="31:38">
      <c r="AE622" s="13"/>
      <c r="AF622" s="13"/>
      <c r="AG622" s="13"/>
      <c r="AH622" s="13"/>
      <c r="AI622" s="13"/>
      <c r="AJ622" s="13"/>
      <c r="AK622" s="13"/>
      <c r="AL622" s="13"/>
    </row>
    <row r="623" spans="31:38">
      <c r="AE623" s="13"/>
      <c r="AF623" s="13"/>
      <c r="AG623" s="13"/>
      <c r="AH623" s="13"/>
      <c r="AI623" s="13"/>
      <c r="AJ623" s="13"/>
      <c r="AK623" s="13"/>
      <c r="AL623" s="13"/>
    </row>
    <row r="624" spans="31:38">
      <c r="AE624" s="13"/>
      <c r="AF624" s="13"/>
      <c r="AG624" s="13"/>
      <c r="AH624" s="13"/>
      <c r="AI624" s="13"/>
      <c r="AJ624" s="13"/>
      <c r="AK624" s="13"/>
      <c r="AL624" s="13"/>
    </row>
    <row r="625" spans="31:38">
      <c r="AE625" s="13"/>
      <c r="AF625" s="13"/>
      <c r="AG625" s="13"/>
      <c r="AH625" s="13"/>
      <c r="AI625" s="13"/>
      <c r="AJ625" s="13"/>
      <c r="AK625" s="13"/>
      <c r="AL625" s="13"/>
    </row>
    <row r="626" spans="31:38">
      <c r="AE626" s="13"/>
      <c r="AF626" s="13"/>
      <c r="AG626" s="13"/>
      <c r="AH626" s="13"/>
      <c r="AI626" s="13"/>
      <c r="AJ626" s="13"/>
      <c r="AK626" s="13"/>
      <c r="AL626" s="13"/>
    </row>
    <row r="627" spans="31:38">
      <c r="AE627" s="13"/>
      <c r="AF627" s="13"/>
      <c r="AG627" s="13"/>
      <c r="AH627" s="13"/>
      <c r="AI627" s="13"/>
      <c r="AJ627" s="13"/>
      <c r="AK627" s="13"/>
      <c r="AL627" s="13"/>
    </row>
    <row r="628" spans="31:38">
      <c r="AE628" s="13"/>
      <c r="AF628" s="13"/>
      <c r="AG628" s="13"/>
      <c r="AH628" s="13"/>
      <c r="AI628" s="13"/>
      <c r="AJ628" s="13"/>
      <c r="AK628" s="13"/>
      <c r="AL628" s="13"/>
    </row>
    <row r="629" spans="31:38">
      <c r="AE629" s="13"/>
      <c r="AF629" s="13"/>
      <c r="AG629" s="13"/>
      <c r="AH629" s="13"/>
      <c r="AI629" s="13"/>
      <c r="AJ629" s="13"/>
      <c r="AK629" s="13"/>
      <c r="AL629" s="13"/>
    </row>
    <row r="630" spans="31:38">
      <c r="AE630" s="13"/>
      <c r="AF630" s="13"/>
      <c r="AG630" s="13"/>
      <c r="AH630" s="13"/>
      <c r="AI630" s="13"/>
      <c r="AJ630" s="13"/>
      <c r="AK630" s="13"/>
      <c r="AL630" s="13"/>
    </row>
    <row r="631" spans="31:38">
      <c r="AE631" s="13"/>
      <c r="AF631" s="13"/>
      <c r="AG631" s="13"/>
      <c r="AH631" s="13"/>
      <c r="AI631" s="13"/>
      <c r="AJ631" s="13"/>
      <c r="AK631" s="13"/>
      <c r="AL631" s="13"/>
    </row>
    <row r="632" spans="31:38">
      <c r="AE632" s="13"/>
      <c r="AF632" s="13"/>
      <c r="AG632" s="13"/>
      <c r="AH632" s="13"/>
      <c r="AI632" s="13"/>
      <c r="AJ632" s="13"/>
      <c r="AK632" s="13"/>
      <c r="AL632" s="13"/>
    </row>
    <row r="633" spans="31:38">
      <c r="AE633" s="13"/>
      <c r="AF633" s="13"/>
      <c r="AG633" s="13"/>
      <c r="AH633" s="13"/>
      <c r="AI633" s="13"/>
      <c r="AJ633" s="13"/>
      <c r="AK633" s="13"/>
      <c r="AL633" s="13"/>
    </row>
    <row r="634" spans="31:38">
      <c r="AE634" s="13"/>
      <c r="AF634" s="13"/>
      <c r="AG634" s="13"/>
      <c r="AH634" s="13"/>
      <c r="AI634" s="13"/>
      <c r="AJ634" s="13"/>
      <c r="AK634" s="13"/>
      <c r="AL634" s="13"/>
    </row>
    <row r="635" spans="31:38">
      <c r="AE635" s="13"/>
      <c r="AF635" s="13"/>
      <c r="AG635" s="13"/>
      <c r="AH635" s="13"/>
      <c r="AI635" s="13"/>
      <c r="AJ635" s="13"/>
      <c r="AK635" s="13"/>
      <c r="AL635" s="13"/>
    </row>
    <row r="636" spans="31:38">
      <c r="AE636" s="13"/>
      <c r="AF636" s="13"/>
      <c r="AG636" s="13"/>
      <c r="AH636" s="13"/>
      <c r="AI636" s="13"/>
      <c r="AJ636" s="13"/>
      <c r="AK636" s="13"/>
      <c r="AL636" s="13"/>
    </row>
    <row r="637" spans="31:38">
      <c r="AE637" s="13"/>
      <c r="AF637" s="13"/>
      <c r="AG637" s="13"/>
      <c r="AH637" s="13"/>
      <c r="AI637" s="13"/>
      <c r="AJ637" s="13"/>
      <c r="AK637" s="13"/>
      <c r="AL637" s="13"/>
    </row>
    <row r="638" spans="31:38">
      <c r="AE638" s="13"/>
      <c r="AF638" s="13"/>
      <c r="AG638" s="13"/>
      <c r="AH638" s="13"/>
      <c r="AI638" s="13"/>
      <c r="AJ638" s="13"/>
      <c r="AK638" s="13"/>
      <c r="AL638" s="13"/>
    </row>
    <row r="639" spans="31:38">
      <c r="AE639" s="13"/>
      <c r="AF639" s="13"/>
      <c r="AG639" s="13"/>
      <c r="AH639" s="13"/>
      <c r="AI639" s="13"/>
      <c r="AJ639" s="13"/>
      <c r="AK639" s="13"/>
      <c r="AL639" s="13"/>
    </row>
    <row r="640" spans="31:38">
      <c r="AE640" s="13"/>
      <c r="AF640" s="13"/>
      <c r="AG640" s="13"/>
      <c r="AH640" s="13"/>
      <c r="AI640" s="13"/>
      <c r="AJ640" s="13"/>
      <c r="AK640" s="13"/>
      <c r="AL640" s="13"/>
    </row>
    <row r="641" spans="31:38">
      <c r="AE641" s="13"/>
      <c r="AF641" s="13"/>
      <c r="AG641" s="13"/>
      <c r="AH641" s="13"/>
      <c r="AI641" s="13"/>
      <c r="AJ641" s="13"/>
      <c r="AK641" s="13"/>
      <c r="AL641" s="13"/>
    </row>
    <row r="642" spans="31:38">
      <c r="AE642" s="13"/>
      <c r="AF642" s="13"/>
      <c r="AG642" s="13"/>
      <c r="AH642" s="13"/>
      <c r="AI642" s="13"/>
      <c r="AJ642" s="13"/>
      <c r="AK642" s="13"/>
      <c r="AL642" s="13"/>
    </row>
    <row r="643" spans="31:38">
      <c r="AE643" s="13"/>
      <c r="AF643" s="13"/>
      <c r="AG643" s="13"/>
      <c r="AH643" s="13"/>
      <c r="AI643" s="13"/>
      <c r="AJ643" s="13"/>
      <c r="AK643" s="13"/>
      <c r="AL643" s="13"/>
    </row>
    <row r="644" spans="31:38">
      <c r="AE644" s="13"/>
      <c r="AF644" s="13"/>
      <c r="AG644" s="13"/>
      <c r="AH644" s="13"/>
      <c r="AI644" s="13"/>
      <c r="AJ644" s="13"/>
      <c r="AK644" s="13"/>
      <c r="AL644" s="13"/>
    </row>
    <row r="645" spans="31:38">
      <c r="AE645" s="13"/>
      <c r="AF645" s="13"/>
      <c r="AG645" s="13"/>
      <c r="AH645" s="13"/>
      <c r="AI645" s="13"/>
      <c r="AJ645" s="13"/>
      <c r="AK645" s="13"/>
      <c r="AL645" s="13"/>
    </row>
    <row r="646" spans="31:38">
      <c r="AE646" s="13"/>
      <c r="AF646" s="13"/>
      <c r="AG646" s="13"/>
      <c r="AH646" s="13"/>
      <c r="AI646" s="13"/>
      <c r="AJ646" s="13"/>
      <c r="AK646" s="13"/>
      <c r="AL646" s="13"/>
    </row>
    <row r="647" spans="31:38">
      <c r="AE647" s="13"/>
      <c r="AF647" s="13"/>
      <c r="AG647" s="13"/>
      <c r="AH647" s="13"/>
      <c r="AI647" s="13"/>
      <c r="AJ647" s="13"/>
      <c r="AK647" s="13"/>
      <c r="AL647" s="13"/>
    </row>
    <row r="648" spans="31:38">
      <c r="AE648" s="13"/>
      <c r="AF648" s="13"/>
      <c r="AG648" s="13"/>
      <c r="AH648" s="13"/>
      <c r="AI648" s="13"/>
      <c r="AJ648" s="13"/>
      <c r="AK648" s="13"/>
      <c r="AL648" s="13"/>
    </row>
    <row r="649" spans="31:38">
      <c r="AE649" s="13"/>
      <c r="AF649" s="13"/>
      <c r="AG649" s="13"/>
      <c r="AH649" s="13"/>
      <c r="AI649" s="13"/>
      <c r="AJ649" s="13"/>
      <c r="AK649" s="13"/>
      <c r="AL649" s="13"/>
    </row>
    <row r="650" spans="31:38">
      <c r="AE650" s="13"/>
      <c r="AF650" s="13"/>
      <c r="AG650" s="13"/>
      <c r="AH650" s="13"/>
      <c r="AI650" s="13"/>
      <c r="AJ650" s="13"/>
      <c r="AK650" s="13"/>
      <c r="AL650" s="13"/>
    </row>
    <row r="651" spans="31:38">
      <c r="AE651" s="13"/>
      <c r="AF651" s="13"/>
      <c r="AG651" s="13"/>
      <c r="AH651" s="13"/>
      <c r="AI651" s="13"/>
      <c r="AJ651" s="13"/>
      <c r="AK651" s="13"/>
      <c r="AL651" s="13"/>
    </row>
    <row r="652" spans="31:38">
      <c r="AE652" s="13"/>
      <c r="AF652" s="13"/>
      <c r="AG652" s="13"/>
      <c r="AH652" s="13"/>
      <c r="AI652" s="13"/>
      <c r="AJ652" s="13"/>
      <c r="AK652" s="13"/>
      <c r="AL652" s="13"/>
    </row>
    <row r="653" spans="31:38">
      <c r="AE653" s="13"/>
      <c r="AF653" s="13"/>
      <c r="AG653" s="13"/>
      <c r="AH653" s="13"/>
      <c r="AI653" s="13"/>
      <c r="AJ653" s="13"/>
      <c r="AK653" s="13"/>
      <c r="AL653" s="13"/>
    </row>
    <row r="654" spans="31:38">
      <c r="AE654" s="13"/>
      <c r="AF654" s="13"/>
      <c r="AG654" s="13"/>
      <c r="AH654" s="13"/>
      <c r="AI654" s="13"/>
      <c r="AJ654" s="13"/>
      <c r="AK654" s="13"/>
      <c r="AL654" s="13"/>
    </row>
    <row r="655" spans="31:38">
      <c r="AE655" s="13"/>
      <c r="AF655" s="13"/>
      <c r="AG655" s="13"/>
      <c r="AH655" s="13"/>
      <c r="AI655" s="13"/>
      <c r="AJ655" s="13"/>
      <c r="AK655" s="13"/>
      <c r="AL655" s="13"/>
    </row>
    <row r="656" spans="31:38">
      <c r="AE656" s="13"/>
      <c r="AF656" s="13"/>
      <c r="AG656" s="13"/>
      <c r="AH656" s="13"/>
      <c r="AI656" s="13"/>
      <c r="AJ656" s="13"/>
      <c r="AK656" s="13"/>
      <c r="AL656" s="13"/>
    </row>
    <row r="657" spans="31:38">
      <c r="AE657" s="13"/>
      <c r="AF657" s="13"/>
      <c r="AG657" s="13"/>
      <c r="AH657" s="13"/>
      <c r="AI657" s="13"/>
      <c r="AJ657" s="13"/>
      <c r="AK657" s="13"/>
      <c r="AL657" s="13"/>
    </row>
    <row r="658" spans="31:38">
      <c r="AE658" s="13"/>
      <c r="AF658" s="13"/>
      <c r="AG658" s="13"/>
      <c r="AH658" s="13"/>
      <c r="AI658" s="13"/>
      <c r="AJ658" s="13"/>
      <c r="AK658" s="13"/>
      <c r="AL658" s="13"/>
    </row>
    <row r="659" spans="31:38">
      <c r="AE659" s="13"/>
      <c r="AF659" s="13"/>
      <c r="AG659" s="13"/>
      <c r="AH659" s="13"/>
      <c r="AI659" s="13"/>
      <c r="AJ659" s="13"/>
      <c r="AK659" s="13"/>
      <c r="AL659" s="13"/>
    </row>
    <row r="660" spans="31:38">
      <c r="AE660" s="13"/>
      <c r="AF660" s="13"/>
      <c r="AG660" s="13"/>
      <c r="AH660" s="13"/>
      <c r="AI660" s="13"/>
      <c r="AJ660" s="13"/>
      <c r="AK660" s="13"/>
      <c r="AL660" s="13"/>
    </row>
    <row r="661" spans="31:38">
      <c r="AE661" s="13"/>
      <c r="AF661" s="13"/>
      <c r="AG661" s="13"/>
      <c r="AH661" s="13"/>
      <c r="AI661" s="13"/>
      <c r="AJ661" s="13"/>
      <c r="AK661" s="13"/>
      <c r="AL661" s="13"/>
    </row>
    <row r="662" spans="31:38">
      <c r="AE662" s="13"/>
      <c r="AF662" s="13"/>
      <c r="AG662" s="13"/>
      <c r="AH662" s="13"/>
      <c r="AI662" s="13"/>
      <c r="AJ662" s="13"/>
      <c r="AK662" s="13"/>
      <c r="AL662" s="13"/>
    </row>
    <row r="663" spans="31:38">
      <c r="AE663" s="13"/>
      <c r="AF663" s="13"/>
      <c r="AG663" s="13"/>
      <c r="AH663" s="13"/>
      <c r="AI663" s="13"/>
      <c r="AJ663" s="13"/>
      <c r="AK663" s="13"/>
      <c r="AL663" s="13"/>
    </row>
    <row r="664" spans="31:38">
      <c r="AE664" s="13"/>
      <c r="AF664" s="13"/>
      <c r="AG664" s="13"/>
      <c r="AH664" s="13"/>
      <c r="AI664" s="13"/>
      <c r="AJ664" s="13"/>
      <c r="AK664" s="13"/>
      <c r="AL664" s="13"/>
    </row>
    <row r="665" spans="31:38">
      <c r="AE665" s="13"/>
      <c r="AF665" s="13"/>
      <c r="AG665" s="13"/>
      <c r="AH665" s="13"/>
      <c r="AI665" s="13"/>
      <c r="AJ665" s="13"/>
      <c r="AK665" s="13"/>
      <c r="AL665" s="13"/>
    </row>
    <row r="666" spans="31:38">
      <c r="AE666" s="13"/>
      <c r="AF666" s="13"/>
      <c r="AG666" s="13"/>
      <c r="AH666" s="13"/>
      <c r="AI666" s="13"/>
      <c r="AJ666" s="13"/>
      <c r="AK666" s="13"/>
      <c r="AL666" s="13"/>
    </row>
    <row r="667" spans="31:38">
      <c r="AE667" s="13"/>
      <c r="AF667" s="13"/>
      <c r="AG667" s="13"/>
      <c r="AH667" s="13"/>
      <c r="AI667" s="13"/>
      <c r="AJ667" s="13"/>
      <c r="AK667" s="13"/>
      <c r="AL667" s="13"/>
    </row>
    <row r="668" spans="31:38">
      <c r="AE668" s="13"/>
      <c r="AF668" s="13"/>
      <c r="AG668" s="13"/>
      <c r="AH668" s="13"/>
      <c r="AI668" s="13"/>
      <c r="AJ668" s="13"/>
      <c r="AK668" s="13"/>
      <c r="AL668" s="13"/>
    </row>
    <row r="669" spans="31:38">
      <c r="AE669" s="13"/>
      <c r="AF669" s="13"/>
      <c r="AG669" s="13"/>
      <c r="AH669" s="13"/>
      <c r="AI669" s="13"/>
      <c r="AJ669" s="13"/>
      <c r="AK669" s="13"/>
      <c r="AL669" s="13"/>
    </row>
    <row r="670" spans="31:38">
      <c r="AE670" s="13"/>
      <c r="AF670" s="13"/>
      <c r="AG670" s="13"/>
      <c r="AH670" s="13"/>
      <c r="AI670" s="13"/>
      <c r="AJ670" s="13"/>
      <c r="AK670" s="13"/>
      <c r="AL670" s="13"/>
    </row>
    <row r="671" spans="31:38">
      <c r="AE671" s="13"/>
      <c r="AF671" s="13"/>
      <c r="AG671" s="13"/>
      <c r="AH671" s="13"/>
      <c r="AI671" s="13"/>
      <c r="AJ671" s="13"/>
      <c r="AK671" s="13"/>
      <c r="AL671" s="13"/>
    </row>
    <row r="672" spans="31:38">
      <c r="AE672" s="13"/>
      <c r="AF672" s="13"/>
      <c r="AG672" s="13"/>
      <c r="AH672" s="13"/>
      <c r="AI672" s="13"/>
      <c r="AJ672" s="13"/>
      <c r="AK672" s="13"/>
      <c r="AL672" s="13"/>
    </row>
    <row r="673" spans="31:38">
      <c r="AE673" s="13"/>
      <c r="AF673" s="13"/>
      <c r="AG673" s="13"/>
      <c r="AH673" s="13"/>
      <c r="AI673" s="13"/>
      <c r="AJ673" s="13"/>
      <c r="AK673" s="13"/>
      <c r="AL673" s="13"/>
    </row>
    <row r="674" spans="31:38">
      <c r="AE674" s="13"/>
      <c r="AF674" s="13"/>
      <c r="AG674" s="13"/>
      <c r="AH674" s="13"/>
      <c r="AI674" s="13"/>
      <c r="AJ674" s="13"/>
      <c r="AK674" s="13"/>
      <c r="AL674" s="13"/>
    </row>
    <row r="675" spans="31:38">
      <c r="AE675" s="13"/>
      <c r="AF675" s="13"/>
      <c r="AG675" s="13"/>
      <c r="AH675" s="13"/>
      <c r="AI675" s="13"/>
      <c r="AJ675" s="13"/>
      <c r="AK675" s="13"/>
      <c r="AL675" s="13"/>
    </row>
    <row r="676" spans="31:38">
      <c r="AE676" s="13"/>
      <c r="AF676" s="13"/>
      <c r="AG676" s="13"/>
      <c r="AH676" s="13"/>
      <c r="AI676" s="13"/>
      <c r="AJ676" s="13"/>
      <c r="AK676" s="13"/>
      <c r="AL676" s="13"/>
    </row>
    <row r="677" spans="31:38">
      <c r="AE677" s="13"/>
      <c r="AF677" s="13"/>
      <c r="AG677" s="13"/>
      <c r="AH677" s="13"/>
      <c r="AI677" s="13"/>
      <c r="AJ677" s="13"/>
      <c r="AK677" s="13"/>
      <c r="AL677" s="13"/>
    </row>
    <row r="678" spans="31:38">
      <c r="AE678" s="13"/>
      <c r="AF678" s="13"/>
      <c r="AG678" s="13"/>
      <c r="AH678" s="13"/>
      <c r="AI678" s="13"/>
      <c r="AJ678" s="13"/>
      <c r="AK678" s="13"/>
      <c r="AL678" s="13"/>
    </row>
    <row r="679" spans="31:38">
      <c r="AE679" s="13"/>
      <c r="AF679" s="13"/>
      <c r="AG679" s="13"/>
      <c r="AH679" s="13"/>
      <c r="AI679" s="13"/>
      <c r="AJ679" s="13"/>
      <c r="AK679" s="13"/>
      <c r="AL679" s="13"/>
    </row>
    <row r="680" spans="31:38">
      <c r="AE680" s="13"/>
      <c r="AF680" s="13"/>
      <c r="AG680" s="13"/>
      <c r="AH680" s="13"/>
      <c r="AI680" s="13"/>
      <c r="AJ680" s="13"/>
      <c r="AK680" s="13"/>
      <c r="AL680" s="13"/>
    </row>
    <row r="681" spans="31:38">
      <c r="AE681" s="13"/>
      <c r="AF681" s="13"/>
      <c r="AG681" s="13"/>
      <c r="AH681" s="13"/>
      <c r="AI681" s="13"/>
      <c r="AJ681" s="13"/>
      <c r="AK681" s="13"/>
      <c r="AL681" s="13"/>
    </row>
    <row r="682" spans="31:38">
      <c r="AE682" s="13"/>
      <c r="AF682" s="13"/>
      <c r="AG682" s="13"/>
      <c r="AH682" s="13"/>
      <c r="AI682" s="13"/>
      <c r="AJ682" s="13"/>
      <c r="AK682" s="13"/>
      <c r="AL682" s="13"/>
    </row>
    <row r="683" spans="31:38">
      <c r="AE683" s="13"/>
      <c r="AF683" s="13"/>
      <c r="AG683" s="13"/>
      <c r="AH683" s="13"/>
      <c r="AI683" s="13"/>
      <c r="AJ683" s="13"/>
      <c r="AK683" s="13"/>
      <c r="AL683" s="13"/>
    </row>
    <row r="684" spans="31:38">
      <c r="AE684" s="13"/>
      <c r="AF684" s="13"/>
      <c r="AG684" s="13"/>
      <c r="AH684" s="13"/>
      <c r="AI684" s="13"/>
      <c r="AJ684" s="13"/>
      <c r="AK684" s="13"/>
      <c r="AL684" s="13"/>
    </row>
    <row r="685" spans="31:38">
      <c r="AE685" s="13"/>
      <c r="AF685" s="13"/>
      <c r="AG685" s="13"/>
      <c r="AH685" s="13"/>
      <c r="AI685" s="13"/>
      <c r="AJ685" s="13"/>
      <c r="AK685" s="13"/>
      <c r="AL685" s="13"/>
    </row>
    <row r="686" spans="31:38">
      <c r="AE686" s="13"/>
      <c r="AF686" s="13"/>
      <c r="AG686" s="13"/>
      <c r="AH686" s="13"/>
      <c r="AI686" s="13"/>
      <c r="AJ686" s="13"/>
      <c r="AK686" s="13"/>
      <c r="AL686" s="13"/>
    </row>
    <row r="687" spans="31:38">
      <c r="AE687" s="13"/>
      <c r="AF687" s="13"/>
      <c r="AG687" s="13"/>
      <c r="AH687" s="13"/>
      <c r="AI687" s="13"/>
      <c r="AJ687" s="13"/>
      <c r="AK687" s="13"/>
      <c r="AL687" s="13"/>
    </row>
    <row r="688" spans="31:38">
      <c r="AE688" s="13"/>
      <c r="AF688" s="13"/>
      <c r="AG688" s="13"/>
      <c r="AH688" s="13"/>
      <c r="AI688" s="13"/>
      <c r="AJ688" s="13"/>
      <c r="AK688" s="13"/>
      <c r="AL688" s="13"/>
    </row>
    <row r="689" spans="31:38">
      <c r="AE689" s="13"/>
      <c r="AF689" s="13"/>
      <c r="AG689" s="13"/>
      <c r="AH689" s="13"/>
      <c r="AI689" s="13"/>
      <c r="AJ689" s="13"/>
      <c r="AK689" s="13"/>
      <c r="AL689" s="13"/>
    </row>
    <row r="690" spans="31:38">
      <c r="AE690" s="13"/>
      <c r="AF690" s="13"/>
      <c r="AG690" s="13"/>
      <c r="AH690" s="13"/>
      <c r="AI690" s="13"/>
      <c r="AJ690" s="13"/>
      <c r="AK690" s="13"/>
      <c r="AL690" s="13"/>
    </row>
    <row r="691" spans="31:38">
      <c r="AE691" s="13"/>
      <c r="AF691" s="13"/>
      <c r="AG691" s="13"/>
      <c r="AH691" s="13"/>
      <c r="AI691" s="13"/>
      <c r="AJ691" s="13"/>
      <c r="AK691" s="13"/>
      <c r="AL691" s="13"/>
    </row>
    <row r="692" spans="31:38">
      <c r="AE692" s="13"/>
      <c r="AF692" s="13"/>
      <c r="AG692" s="13"/>
      <c r="AH692" s="13"/>
      <c r="AI692" s="13"/>
      <c r="AJ692" s="13"/>
      <c r="AK692" s="13"/>
      <c r="AL692" s="13"/>
    </row>
    <row r="693" spans="31:38">
      <c r="AE693" s="13"/>
      <c r="AF693" s="13"/>
      <c r="AG693" s="13"/>
      <c r="AH693" s="13"/>
      <c r="AI693" s="13"/>
      <c r="AJ693" s="13"/>
      <c r="AK693" s="13"/>
      <c r="AL693" s="13"/>
    </row>
    <row r="694" spans="31:38">
      <c r="AE694" s="13"/>
      <c r="AF694" s="13"/>
      <c r="AG694" s="13"/>
      <c r="AH694" s="13"/>
      <c r="AI694" s="13"/>
      <c r="AJ694" s="13"/>
      <c r="AK694" s="13"/>
      <c r="AL694" s="13"/>
    </row>
    <row r="695" spans="31:38">
      <c r="AE695" s="13"/>
      <c r="AF695" s="13"/>
      <c r="AG695" s="13"/>
      <c r="AH695" s="13"/>
      <c r="AI695" s="13"/>
      <c r="AJ695" s="13"/>
      <c r="AK695" s="13"/>
      <c r="AL695" s="13"/>
    </row>
    <row r="696" spans="31:38">
      <c r="AE696" s="13"/>
      <c r="AF696" s="13"/>
      <c r="AG696" s="13"/>
      <c r="AH696" s="13"/>
      <c r="AI696" s="13"/>
      <c r="AJ696" s="13"/>
      <c r="AK696" s="13"/>
      <c r="AL696" s="13"/>
    </row>
    <row r="697" spans="31:38">
      <c r="AE697" s="13"/>
      <c r="AF697" s="13"/>
      <c r="AG697" s="13"/>
      <c r="AH697" s="13"/>
      <c r="AI697" s="13"/>
      <c r="AJ697" s="13"/>
      <c r="AK697" s="13"/>
      <c r="AL697" s="13"/>
    </row>
    <row r="698" spans="31:38">
      <c r="AE698" s="13"/>
      <c r="AF698" s="13"/>
      <c r="AG698" s="13"/>
      <c r="AH698" s="13"/>
      <c r="AI698" s="13"/>
      <c r="AJ698" s="13"/>
      <c r="AK698" s="13"/>
      <c r="AL698" s="13"/>
    </row>
    <row r="699" spans="31:38">
      <c r="AE699" s="13"/>
      <c r="AF699" s="13"/>
      <c r="AG699" s="13"/>
      <c r="AH699" s="13"/>
      <c r="AI699" s="13"/>
      <c r="AJ699" s="13"/>
      <c r="AK699" s="13"/>
      <c r="AL699" s="13"/>
    </row>
    <row r="700" spans="31:38">
      <c r="AE700" s="13"/>
      <c r="AF700" s="13"/>
      <c r="AG700" s="13"/>
      <c r="AH700" s="13"/>
      <c r="AI700" s="13"/>
      <c r="AJ700" s="13"/>
      <c r="AK700" s="13"/>
      <c r="AL700" s="13"/>
    </row>
    <row r="701" spans="31:38">
      <c r="AE701" s="13"/>
      <c r="AF701" s="13"/>
      <c r="AG701" s="13"/>
      <c r="AH701" s="13"/>
      <c r="AI701" s="13"/>
      <c r="AJ701" s="13"/>
      <c r="AK701" s="13"/>
      <c r="AL701" s="13"/>
    </row>
    <row r="702" spans="31:38">
      <c r="AE702" s="13"/>
      <c r="AF702" s="13"/>
      <c r="AG702" s="13"/>
      <c r="AH702" s="13"/>
      <c r="AI702" s="13"/>
      <c r="AJ702" s="13"/>
      <c r="AK702" s="13"/>
      <c r="AL702" s="13"/>
    </row>
    <row r="703" spans="31:38">
      <c r="AE703" s="13"/>
      <c r="AF703" s="13"/>
      <c r="AG703" s="13"/>
      <c r="AH703" s="13"/>
      <c r="AI703" s="13"/>
      <c r="AJ703" s="13"/>
      <c r="AK703" s="13"/>
      <c r="AL703" s="13"/>
    </row>
    <row r="704" spans="31:38">
      <c r="AE704" s="13"/>
      <c r="AF704" s="13"/>
      <c r="AG704" s="13"/>
      <c r="AH704" s="13"/>
      <c r="AI704" s="13"/>
      <c r="AJ704" s="13"/>
      <c r="AK704" s="13"/>
      <c r="AL704" s="13"/>
    </row>
    <row r="705" spans="31:38">
      <c r="AE705" s="13"/>
      <c r="AF705" s="13"/>
      <c r="AG705" s="13"/>
      <c r="AH705" s="13"/>
      <c r="AI705" s="13"/>
      <c r="AJ705" s="13"/>
      <c r="AK705" s="13"/>
      <c r="AL705" s="13"/>
    </row>
    <row r="706" spans="31:38">
      <c r="AE706" s="13"/>
      <c r="AF706" s="13"/>
      <c r="AG706" s="13"/>
      <c r="AH706" s="13"/>
      <c r="AI706" s="13"/>
      <c r="AJ706" s="13"/>
      <c r="AK706" s="13"/>
      <c r="AL706" s="13"/>
    </row>
    <row r="707" spans="31:38">
      <c r="AE707" s="13"/>
      <c r="AF707" s="13"/>
      <c r="AG707" s="13"/>
      <c r="AH707" s="13"/>
      <c r="AI707" s="13"/>
      <c r="AJ707" s="13"/>
      <c r="AK707" s="13"/>
      <c r="AL707" s="13"/>
    </row>
    <row r="708" spans="31:38">
      <c r="AE708" s="13"/>
      <c r="AF708" s="13"/>
      <c r="AG708" s="13"/>
      <c r="AH708" s="13"/>
      <c r="AI708" s="13"/>
      <c r="AJ708" s="13"/>
      <c r="AK708" s="13"/>
      <c r="AL708" s="13"/>
    </row>
    <row r="709" spans="31:38">
      <c r="AE709" s="13"/>
      <c r="AF709" s="13"/>
      <c r="AG709" s="13"/>
      <c r="AH709" s="13"/>
      <c r="AI709" s="13"/>
      <c r="AJ709" s="13"/>
      <c r="AK709" s="13"/>
      <c r="AL709" s="13"/>
    </row>
    <row r="710" spans="31:38">
      <c r="AE710" s="13"/>
      <c r="AF710" s="13"/>
      <c r="AG710" s="13"/>
      <c r="AH710" s="13"/>
      <c r="AI710" s="13"/>
      <c r="AJ710" s="13"/>
      <c r="AK710" s="13"/>
      <c r="AL710" s="13"/>
    </row>
    <row r="711" spans="31:38">
      <c r="AE711" s="13"/>
      <c r="AF711" s="13"/>
      <c r="AG711" s="13"/>
      <c r="AH711" s="13"/>
      <c r="AI711" s="13"/>
      <c r="AJ711" s="13"/>
      <c r="AK711" s="13"/>
      <c r="AL711" s="13"/>
    </row>
    <row r="712" spans="31:38">
      <c r="AE712" s="13"/>
      <c r="AF712" s="13"/>
      <c r="AG712" s="13"/>
      <c r="AH712" s="13"/>
      <c r="AI712" s="13"/>
      <c r="AJ712" s="13"/>
      <c r="AK712" s="13"/>
      <c r="AL712" s="13"/>
    </row>
    <row r="713" spans="31:38">
      <c r="AE713" s="13"/>
      <c r="AF713" s="13"/>
      <c r="AG713" s="13"/>
      <c r="AH713" s="13"/>
      <c r="AI713" s="13"/>
      <c r="AJ713" s="13"/>
      <c r="AK713" s="13"/>
      <c r="AL713" s="13"/>
    </row>
    <row r="714" spans="31:38">
      <c r="AE714" s="13"/>
      <c r="AF714" s="13"/>
      <c r="AG714" s="13"/>
      <c r="AH714" s="13"/>
      <c r="AI714" s="13"/>
      <c r="AJ714" s="13"/>
      <c r="AK714" s="13"/>
      <c r="AL714" s="13"/>
    </row>
    <row r="715" spans="31:38">
      <c r="AE715" s="13"/>
      <c r="AF715" s="13"/>
      <c r="AG715" s="13"/>
      <c r="AH715" s="13"/>
      <c r="AI715" s="13"/>
      <c r="AJ715" s="13"/>
      <c r="AK715" s="13"/>
      <c r="AL715" s="13"/>
    </row>
    <row r="716" spans="31:38">
      <c r="AE716" s="13"/>
      <c r="AF716" s="13"/>
      <c r="AG716" s="13"/>
      <c r="AH716" s="13"/>
      <c r="AI716" s="13"/>
      <c r="AJ716" s="13"/>
      <c r="AK716" s="13"/>
      <c r="AL716" s="13"/>
    </row>
    <row r="717" spans="31:38">
      <c r="AE717" s="13"/>
      <c r="AF717" s="13"/>
      <c r="AG717" s="13"/>
      <c r="AH717" s="13"/>
      <c r="AI717" s="13"/>
      <c r="AJ717" s="13"/>
      <c r="AK717" s="13"/>
      <c r="AL717" s="13"/>
    </row>
    <row r="718" spans="31:38">
      <c r="AE718" s="13"/>
      <c r="AF718" s="13"/>
      <c r="AG718" s="13"/>
      <c r="AH718" s="13"/>
      <c r="AI718" s="13"/>
      <c r="AJ718" s="13"/>
      <c r="AK718" s="13"/>
      <c r="AL718" s="13"/>
    </row>
    <row r="719" spans="31:38">
      <c r="AE719" s="13"/>
      <c r="AF719" s="13"/>
      <c r="AG719" s="13"/>
      <c r="AH719" s="13"/>
      <c r="AI719" s="13"/>
      <c r="AJ719" s="13"/>
      <c r="AK719" s="13"/>
      <c r="AL719" s="13"/>
    </row>
    <row r="720" spans="31:38">
      <c r="AE720" s="13"/>
      <c r="AF720" s="13"/>
      <c r="AG720" s="13"/>
      <c r="AH720" s="13"/>
      <c r="AI720" s="13"/>
      <c r="AJ720" s="13"/>
      <c r="AK720" s="13"/>
      <c r="AL720" s="13"/>
    </row>
    <row r="721" spans="31:38">
      <c r="AE721" s="13"/>
      <c r="AF721" s="13"/>
      <c r="AG721" s="13"/>
      <c r="AH721" s="13"/>
      <c r="AI721" s="13"/>
      <c r="AJ721" s="13"/>
      <c r="AK721" s="13"/>
      <c r="AL721" s="13"/>
    </row>
    <row r="722" spans="31:38">
      <c r="AE722" s="13"/>
      <c r="AF722" s="13"/>
      <c r="AG722" s="13"/>
      <c r="AH722" s="13"/>
      <c r="AI722" s="13"/>
      <c r="AJ722" s="13"/>
      <c r="AK722" s="13"/>
      <c r="AL722" s="13"/>
    </row>
    <row r="723" spans="31:38">
      <c r="AE723" s="13"/>
      <c r="AF723" s="13"/>
      <c r="AG723" s="13"/>
      <c r="AH723" s="13"/>
      <c r="AI723" s="13"/>
      <c r="AJ723" s="13"/>
      <c r="AK723" s="13"/>
      <c r="AL723" s="13"/>
    </row>
    <row r="724" spans="31:38">
      <c r="AE724" s="13"/>
      <c r="AF724" s="13"/>
      <c r="AG724" s="13"/>
      <c r="AH724" s="13"/>
      <c r="AI724" s="13"/>
      <c r="AJ724" s="13"/>
      <c r="AK724" s="13"/>
      <c r="AL724" s="13"/>
    </row>
    <row r="725" spans="31:38">
      <c r="AE725" s="13"/>
      <c r="AF725" s="13"/>
      <c r="AG725" s="13"/>
      <c r="AH725" s="13"/>
      <c r="AI725" s="13"/>
      <c r="AJ725" s="13"/>
      <c r="AK725" s="13"/>
      <c r="AL725" s="13"/>
    </row>
    <row r="726" spans="31:38">
      <c r="AE726" s="13"/>
      <c r="AF726" s="13"/>
      <c r="AG726" s="13"/>
      <c r="AH726" s="13"/>
      <c r="AI726" s="13"/>
      <c r="AJ726" s="13"/>
      <c r="AK726" s="13"/>
      <c r="AL726" s="13"/>
    </row>
    <row r="727" spans="31:38">
      <c r="AE727" s="13"/>
      <c r="AF727" s="13"/>
      <c r="AG727" s="13"/>
      <c r="AH727" s="13"/>
      <c r="AI727" s="13"/>
      <c r="AJ727" s="13"/>
      <c r="AK727" s="13"/>
      <c r="AL727" s="13"/>
    </row>
    <row r="728" spans="31:38">
      <c r="AE728" s="13"/>
      <c r="AF728" s="13"/>
      <c r="AG728" s="13"/>
      <c r="AH728" s="13"/>
      <c r="AI728" s="13"/>
      <c r="AJ728" s="13"/>
      <c r="AK728" s="13"/>
      <c r="AL728" s="13"/>
    </row>
    <row r="729" spans="31:38">
      <c r="AE729" s="13"/>
      <c r="AF729" s="13"/>
      <c r="AG729" s="13"/>
      <c r="AH729" s="13"/>
      <c r="AI729" s="13"/>
      <c r="AJ729" s="13"/>
      <c r="AK729" s="13"/>
      <c r="AL729" s="13"/>
    </row>
    <row r="730" spans="31:38">
      <c r="AE730" s="13"/>
      <c r="AF730" s="13"/>
      <c r="AG730" s="13"/>
      <c r="AH730" s="13"/>
      <c r="AI730" s="13"/>
      <c r="AJ730" s="13"/>
      <c r="AK730" s="13"/>
      <c r="AL730" s="13"/>
    </row>
    <row r="731" spans="31:38">
      <c r="AE731" s="13"/>
      <c r="AF731" s="13"/>
      <c r="AG731" s="13"/>
      <c r="AH731" s="13"/>
      <c r="AI731" s="13"/>
      <c r="AJ731" s="13"/>
      <c r="AK731" s="13"/>
      <c r="AL731" s="13"/>
    </row>
    <row r="732" spans="31:38">
      <c r="AE732" s="13"/>
      <c r="AF732" s="13"/>
      <c r="AG732" s="13"/>
      <c r="AH732" s="13"/>
      <c r="AI732" s="13"/>
      <c r="AJ732" s="13"/>
      <c r="AK732" s="13"/>
      <c r="AL732" s="13"/>
    </row>
    <row r="733" spans="31:38">
      <c r="AE733" s="13"/>
      <c r="AF733" s="13"/>
      <c r="AG733" s="13"/>
      <c r="AH733" s="13"/>
      <c r="AI733" s="13"/>
      <c r="AJ733" s="13"/>
      <c r="AK733" s="13"/>
      <c r="AL733" s="13"/>
    </row>
    <row r="734" spans="31:38">
      <c r="AE734" s="13"/>
      <c r="AF734" s="13"/>
      <c r="AG734" s="13"/>
      <c r="AH734" s="13"/>
      <c r="AI734" s="13"/>
      <c r="AJ734" s="13"/>
      <c r="AK734" s="13"/>
      <c r="AL734" s="13"/>
    </row>
    <row r="735" spans="31:38">
      <c r="AE735" s="13"/>
      <c r="AF735" s="13"/>
      <c r="AG735" s="13"/>
      <c r="AH735" s="13"/>
      <c r="AI735" s="13"/>
      <c r="AJ735" s="13"/>
      <c r="AK735" s="13"/>
      <c r="AL735" s="13"/>
    </row>
    <row r="736" spans="31:38">
      <c r="AE736" s="13"/>
      <c r="AF736" s="13"/>
      <c r="AG736" s="13"/>
      <c r="AH736" s="13"/>
      <c r="AI736" s="13"/>
      <c r="AJ736" s="13"/>
      <c r="AK736" s="13"/>
      <c r="AL736" s="13"/>
    </row>
    <row r="737" spans="31:38">
      <c r="AE737" s="13"/>
      <c r="AF737" s="13"/>
      <c r="AG737" s="13"/>
      <c r="AH737" s="13"/>
      <c r="AI737" s="13"/>
      <c r="AJ737" s="13"/>
      <c r="AK737" s="13"/>
      <c r="AL737" s="13"/>
    </row>
    <row r="738" spans="31:38">
      <c r="AE738" s="13"/>
      <c r="AF738" s="13"/>
      <c r="AG738" s="13"/>
      <c r="AH738" s="13"/>
      <c r="AI738" s="13"/>
      <c r="AJ738" s="13"/>
      <c r="AK738" s="13"/>
      <c r="AL738" s="13"/>
    </row>
    <row r="739" spans="31:38">
      <c r="AE739" s="13"/>
      <c r="AF739" s="13"/>
      <c r="AG739" s="13"/>
      <c r="AH739" s="13"/>
      <c r="AI739" s="13"/>
      <c r="AJ739" s="13"/>
      <c r="AK739" s="13"/>
      <c r="AL739" s="13"/>
    </row>
    <row r="740" spans="31:38">
      <c r="AE740" s="13"/>
      <c r="AF740" s="13"/>
      <c r="AG740" s="13"/>
      <c r="AH740" s="13"/>
      <c r="AI740" s="13"/>
      <c r="AJ740" s="13"/>
      <c r="AK740" s="13"/>
      <c r="AL740" s="13"/>
    </row>
    <row r="741" spans="31:38">
      <c r="AE741" s="13"/>
      <c r="AF741" s="13"/>
      <c r="AG741" s="13"/>
      <c r="AH741" s="13"/>
      <c r="AI741" s="13"/>
      <c r="AJ741" s="13"/>
      <c r="AK741" s="13"/>
      <c r="AL741" s="13"/>
    </row>
    <row r="742" spans="31:38">
      <c r="AE742" s="13"/>
      <c r="AF742" s="13"/>
      <c r="AG742" s="13"/>
      <c r="AH742" s="13"/>
      <c r="AI742" s="13"/>
      <c r="AJ742" s="13"/>
      <c r="AK742" s="13"/>
      <c r="AL742" s="13"/>
    </row>
    <row r="743" spans="31:38">
      <c r="AE743" s="13"/>
      <c r="AF743" s="13"/>
      <c r="AG743" s="13"/>
      <c r="AH743" s="13"/>
      <c r="AI743" s="13"/>
      <c r="AJ743" s="13"/>
      <c r="AK743" s="13"/>
      <c r="AL743" s="13"/>
    </row>
    <row r="744" spans="31:38">
      <c r="AE744" s="13"/>
      <c r="AF744" s="13"/>
      <c r="AG744" s="13"/>
      <c r="AH744" s="13"/>
      <c r="AI744" s="13"/>
      <c r="AJ744" s="13"/>
      <c r="AK744" s="13"/>
      <c r="AL744" s="13"/>
    </row>
    <row r="745" spans="31:38">
      <c r="AE745" s="13"/>
      <c r="AF745" s="13"/>
      <c r="AG745" s="13"/>
      <c r="AH745" s="13"/>
      <c r="AI745" s="13"/>
      <c r="AJ745" s="13"/>
      <c r="AK745" s="13"/>
      <c r="AL745" s="13"/>
    </row>
    <row r="746" spans="31:38">
      <c r="AE746" s="13"/>
      <c r="AF746" s="13"/>
      <c r="AG746" s="13"/>
      <c r="AH746" s="13"/>
      <c r="AI746" s="13"/>
      <c r="AJ746" s="13"/>
      <c r="AK746" s="13"/>
      <c r="AL746" s="13"/>
    </row>
    <row r="747" spans="31:38">
      <c r="AE747" s="13"/>
      <c r="AF747" s="13"/>
      <c r="AG747" s="13"/>
      <c r="AH747" s="13"/>
      <c r="AI747" s="13"/>
      <c r="AJ747" s="13"/>
      <c r="AK747" s="13"/>
      <c r="AL747" s="13"/>
    </row>
    <row r="748" spans="31:38">
      <c r="AE748" s="13"/>
      <c r="AF748" s="13"/>
      <c r="AG748" s="13"/>
      <c r="AH748" s="13"/>
      <c r="AI748" s="13"/>
      <c r="AJ748" s="13"/>
      <c r="AK748" s="13"/>
      <c r="AL748" s="13"/>
    </row>
    <row r="749" spans="31:38">
      <c r="AE749" s="13"/>
      <c r="AF749" s="13"/>
      <c r="AG749" s="13"/>
      <c r="AH749" s="13"/>
      <c r="AI749" s="13"/>
      <c r="AJ749" s="13"/>
      <c r="AK749" s="13"/>
      <c r="AL749" s="13"/>
    </row>
    <row r="750" spans="31:38">
      <c r="AE750" s="13"/>
      <c r="AF750" s="13"/>
      <c r="AG750" s="13"/>
      <c r="AH750" s="13"/>
      <c r="AI750" s="13"/>
      <c r="AJ750" s="13"/>
      <c r="AK750" s="13"/>
      <c r="AL750" s="13"/>
    </row>
    <row r="751" spans="31:38">
      <c r="AE751" s="13"/>
      <c r="AF751" s="13"/>
      <c r="AG751" s="13"/>
      <c r="AH751" s="13"/>
      <c r="AI751" s="13"/>
      <c r="AJ751" s="13"/>
      <c r="AK751" s="13"/>
      <c r="AL751" s="13"/>
    </row>
    <row r="752" spans="31:38">
      <c r="AE752" s="13"/>
      <c r="AF752" s="13"/>
      <c r="AG752" s="13"/>
      <c r="AH752" s="13"/>
      <c r="AI752" s="13"/>
      <c r="AJ752" s="13"/>
      <c r="AK752" s="13"/>
      <c r="AL752" s="13"/>
    </row>
    <row r="753" spans="31:38">
      <c r="AE753" s="13"/>
      <c r="AF753" s="13"/>
      <c r="AG753" s="13"/>
      <c r="AH753" s="13"/>
      <c r="AI753" s="13"/>
      <c r="AJ753" s="13"/>
      <c r="AK753" s="13"/>
      <c r="AL753" s="13"/>
    </row>
    <row r="754" spans="31:38">
      <c r="AE754" s="13"/>
      <c r="AF754" s="13"/>
      <c r="AG754" s="13"/>
      <c r="AH754" s="13"/>
      <c r="AI754" s="13"/>
      <c r="AJ754" s="13"/>
      <c r="AK754" s="13"/>
      <c r="AL754" s="13"/>
    </row>
    <row r="755" spans="31:38">
      <c r="AE755" s="13"/>
      <c r="AF755" s="13"/>
      <c r="AG755" s="13"/>
      <c r="AH755" s="13"/>
      <c r="AI755" s="13"/>
      <c r="AJ755" s="13"/>
      <c r="AK755" s="13"/>
      <c r="AL755" s="13"/>
    </row>
    <row r="756" spans="31:38">
      <c r="AE756" s="13"/>
      <c r="AF756" s="13"/>
      <c r="AG756" s="13"/>
      <c r="AH756" s="13"/>
      <c r="AI756" s="13"/>
      <c r="AJ756" s="13"/>
      <c r="AK756" s="13"/>
      <c r="AL756" s="13"/>
    </row>
    <row r="757" spans="31:38">
      <c r="AE757" s="13"/>
      <c r="AF757" s="13"/>
      <c r="AG757" s="13"/>
      <c r="AH757" s="13"/>
      <c r="AI757" s="13"/>
      <c r="AJ757" s="13"/>
      <c r="AK757" s="13"/>
      <c r="AL757" s="13"/>
    </row>
    <row r="758" spans="31:38">
      <c r="AE758" s="13"/>
      <c r="AF758" s="13"/>
      <c r="AG758" s="13"/>
      <c r="AH758" s="13"/>
      <c r="AI758" s="13"/>
      <c r="AJ758" s="13"/>
      <c r="AK758" s="13"/>
      <c r="AL758" s="13"/>
    </row>
    <row r="759" spans="31:38">
      <c r="AE759" s="13"/>
      <c r="AF759" s="13"/>
      <c r="AG759" s="13"/>
      <c r="AH759" s="13"/>
      <c r="AI759" s="13"/>
      <c r="AJ759" s="13"/>
      <c r="AK759" s="13"/>
      <c r="AL759" s="13"/>
    </row>
    <row r="760" spans="31:38">
      <c r="AE760" s="13"/>
      <c r="AF760" s="13"/>
      <c r="AG760" s="13"/>
      <c r="AH760" s="13"/>
      <c r="AI760" s="13"/>
      <c r="AJ760" s="13"/>
      <c r="AK760" s="13"/>
      <c r="AL760" s="13"/>
    </row>
    <row r="761" spans="31:38">
      <c r="AE761" s="13"/>
      <c r="AF761" s="13"/>
      <c r="AG761" s="13"/>
      <c r="AH761" s="13"/>
      <c r="AI761" s="13"/>
      <c r="AJ761" s="13"/>
      <c r="AK761" s="13"/>
      <c r="AL761" s="13"/>
    </row>
    <row r="762" spans="31:38">
      <c r="AE762" s="13"/>
      <c r="AF762" s="13"/>
      <c r="AG762" s="13"/>
      <c r="AH762" s="13"/>
      <c r="AI762" s="13"/>
      <c r="AJ762" s="13"/>
      <c r="AK762" s="13"/>
      <c r="AL762" s="13"/>
    </row>
    <row r="763" spans="31:38">
      <c r="AE763" s="13"/>
      <c r="AF763" s="13"/>
      <c r="AG763" s="13"/>
      <c r="AH763" s="13"/>
      <c r="AI763" s="13"/>
      <c r="AJ763" s="13"/>
      <c r="AK763" s="13"/>
      <c r="AL763" s="13"/>
    </row>
    <row r="764" spans="31:38">
      <c r="AE764" s="13"/>
      <c r="AF764" s="13"/>
      <c r="AG764" s="13"/>
      <c r="AH764" s="13"/>
      <c r="AI764" s="13"/>
      <c r="AJ764" s="13"/>
      <c r="AK764" s="13"/>
      <c r="AL764" s="13"/>
    </row>
    <row r="765" spans="31:38">
      <c r="AE765" s="13"/>
      <c r="AF765" s="13"/>
      <c r="AG765" s="13"/>
      <c r="AH765" s="13"/>
      <c r="AI765" s="13"/>
      <c r="AJ765" s="13"/>
      <c r="AK765" s="13"/>
      <c r="AL765" s="13"/>
    </row>
    <row r="766" spans="31:38">
      <c r="AE766" s="13"/>
      <c r="AF766" s="13"/>
      <c r="AG766" s="13"/>
      <c r="AH766" s="13"/>
      <c r="AI766" s="13"/>
      <c r="AJ766" s="13"/>
      <c r="AK766" s="13"/>
      <c r="AL766" s="13"/>
    </row>
    <row r="767" spans="31:38">
      <c r="AE767" s="13"/>
      <c r="AF767" s="13"/>
      <c r="AG767" s="13"/>
      <c r="AH767" s="13"/>
      <c r="AI767" s="13"/>
      <c r="AJ767" s="13"/>
      <c r="AK767" s="13"/>
      <c r="AL767" s="13"/>
    </row>
    <row r="768" spans="31:38">
      <c r="AE768" s="13"/>
      <c r="AF768" s="13"/>
      <c r="AG768" s="13"/>
      <c r="AH768" s="13"/>
      <c r="AI768" s="13"/>
      <c r="AJ768" s="13"/>
      <c r="AK768" s="13"/>
      <c r="AL768" s="13"/>
    </row>
    <row r="769" spans="31:38">
      <c r="AE769" s="13"/>
      <c r="AF769" s="13"/>
      <c r="AG769" s="13"/>
      <c r="AH769" s="13"/>
      <c r="AI769" s="13"/>
      <c r="AJ769" s="13"/>
      <c r="AK769" s="13"/>
      <c r="AL769" s="13"/>
    </row>
    <row r="770" spans="31:38">
      <c r="AE770" s="13"/>
      <c r="AF770" s="13"/>
      <c r="AG770" s="13"/>
      <c r="AH770" s="13"/>
      <c r="AI770" s="13"/>
      <c r="AJ770" s="13"/>
      <c r="AK770" s="13"/>
      <c r="AL770" s="13"/>
    </row>
    <row r="771" spans="31:38">
      <c r="AE771" s="13"/>
      <c r="AF771" s="13"/>
      <c r="AG771" s="13"/>
      <c r="AH771" s="13"/>
      <c r="AI771" s="13"/>
      <c r="AJ771" s="13"/>
      <c r="AK771" s="13"/>
      <c r="AL771" s="13"/>
    </row>
    <row r="772" spans="31:38">
      <c r="AE772" s="13"/>
      <c r="AF772" s="13"/>
      <c r="AG772" s="13"/>
      <c r="AH772" s="13"/>
      <c r="AI772" s="13"/>
      <c r="AJ772" s="13"/>
      <c r="AK772" s="13"/>
      <c r="AL772" s="13"/>
    </row>
    <row r="773" spans="31:38">
      <c r="AE773" s="13"/>
      <c r="AF773" s="13"/>
      <c r="AG773" s="13"/>
      <c r="AH773" s="13"/>
      <c r="AI773" s="13"/>
      <c r="AJ773" s="13"/>
      <c r="AK773" s="13"/>
      <c r="AL773" s="13"/>
    </row>
    <row r="774" spans="31:38">
      <c r="AE774" s="13"/>
      <c r="AF774" s="13"/>
      <c r="AG774" s="13"/>
      <c r="AH774" s="13"/>
      <c r="AI774" s="13"/>
      <c r="AJ774" s="13"/>
      <c r="AK774" s="13"/>
      <c r="AL774" s="13"/>
    </row>
    <row r="775" spans="31:38">
      <c r="AE775" s="13"/>
      <c r="AF775" s="13"/>
      <c r="AG775" s="13"/>
      <c r="AH775" s="13"/>
      <c r="AI775" s="13"/>
      <c r="AJ775" s="13"/>
      <c r="AK775" s="13"/>
      <c r="AL775" s="13"/>
    </row>
    <row r="776" spans="31:38">
      <c r="AE776" s="13"/>
      <c r="AF776" s="13"/>
      <c r="AG776" s="13"/>
      <c r="AH776" s="13"/>
      <c r="AI776" s="13"/>
      <c r="AJ776" s="13"/>
      <c r="AK776" s="13"/>
      <c r="AL776" s="13"/>
    </row>
    <row r="777" spans="31:38">
      <c r="AE777" s="13"/>
      <c r="AF777" s="13"/>
      <c r="AG777" s="13"/>
      <c r="AH777" s="13"/>
      <c r="AI777" s="13"/>
      <c r="AJ777" s="13"/>
      <c r="AK777" s="13"/>
      <c r="AL777" s="13"/>
    </row>
    <row r="778" spans="31:38">
      <c r="AE778" s="13"/>
      <c r="AF778" s="13"/>
      <c r="AG778" s="13"/>
      <c r="AH778" s="13"/>
      <c r="AI778" s="13"/>
      <c r="AJ778" s="13"/>
      <c r="AK778" s="13"/>
      <c r="AL778" s="13"/>
    </row>
    <row r="779" spans="31:38">
      <c r="AE779" s="13"/>
      <c r="AF779" s="13"/>
      <c r="AG779" s="13"/>
      <c r="AH779" s="13"/>
      <c r="AI779" s="13"/>
      <c r="AJ779" s="13"/>
      <c r="AK779" s="13"/>
      <c r="AL779" s="13"/>
    </row>
    <row r="780" spans="31:38">
      <c r="AE780" s="13"/>
      <c r="AF780" s="13"/>
      <c r="AG780" s="13"/>
      <c r="AH780" s="13"/>
      <c r="AI780" s="13"/>
      <c r="AJ780" s="13"/>
      <c r="AK780" s="13"/>
      <c r="AL780" s="13"/>
    </row>
    <row r="781" spans="31:38">
      <c r="AE781" s="13"/>
      <c r="AF781" s="13"/>
      <c r="AG781" s="13"/>
      <c r="AH781" s="13"/>
      <c r="AI781" s="13"/>
      <c r="AJ781" s="13"/>
      <c r="AK781" s="13"/>
      <c r="AL781" s="13"/>
    </row>
    <row r="782" spans="31:38">
      <c r="AE782" s="13"/>
      <c r="AF782" s="13"/>
      <c r="AG782" s="13"/>
      <c r="AH782" s="13"/>
      <c r="AI782" s="13"/>
      <c r="AJ782" s="13"/>
      <c r="AK782" s="13"/>
      <c r="AL782" s="13"/>
    </row>
    <row r="783" spans="31:38">
      <c r="AE783" s="13"/>
      <c r="AF783" s="13"/>
      <c r="AG783" s="13"/>
      <c r="AH783" s="13"/>
      <c r="AI783" s="13"/>
      <c r="AJ783" s="13"/>
      <c r="AK783" s="13"/>
      <c r="AL783" s="13"/>
    </row>
    <row r="784" spans="31:38">
      <c r="AE784" s="13"/>
      <c r="AF784" s="13"/>
      <c r="AG784" s="13"/>
      <c r="AH784" s="13"/>
      <c r="AI784" s="13"/>
      <c r="AJ784" s="13"/>
      <c r="AK784" s="13"/>
      <c r="AL784" s="13"/>
    </row>
    <row r="785" spans="31:38">
      <c r="AE785" s="13"/>
      <c r="AF785" s="13"/>
      <c r="AG785" s="13"/>
      <c r="AH785" s="13"/>
      <c r="AI785" s="13"/>
      <c r="AJ785" s="13"/>
      <c r="AK785" s="13"/>
      <c r="AL785" s="13"/>
    </row>
    <row r="786" spans="31:38">
      <c r="AE786" s="13"/>
      <c r="AF786" s="13"/>
      <c r="AG786" s="13"/>
      <c r="AH786" s="13"/>
      <c r="AI786" s="13"/>
      <c r="AJ786" s="13"/>
      <c r="AK786" s="13"/>
      <c r="AL786" s="13"/>
    </row>
    <row r="787" spans="31:38">
      <c r="AE787" s="13"/>
      <c r="AF787" s="13"/>
      <c r="AG787" s="13"/>
      <c r="AH787" s="13"/>
      <c r="AI787" s="13"/>
      <c r="AJ787" s="13"/>
      <c r="AK787" s="13"/>
      <c r="AL787" s="13"/>
    </row>
    <row r="788" spans="31:38">
      <c r="AE788" s="13"/>
      <c r="AF788" s="13"/>
      <c r="AG788" s="13"/>
      <c r="AH788" s="13"/>
      <c r="AI788" s="13"/>
      <c r="AJ788" s="13"/>
      <c r="AK788" s="13"/>
      <c r="AL788" s="13"/>
    </row>
    <row r="789" spans="31:38">
      <c r="AE789" s="13"/>
      <c r="AF789" s="13"/>
      <c r="AG789" s="13"/>
      <c r="AH789" s="13"/>
      <c r="AI789" s="13"/>
      <c r="AJ789" s="13"/>
      <c r="AK789" s="13"/>
      <c r="AL789" s="13"/>
    </row>
    <row r="790" spans="31:38">
      <c r="AE790" s="13"/>
      <c r="AF790" s="13"/>
      <c r="AG790" s="13"/>
      <c r="AH790" s="13"/>
      <c r="AI790" s="13"/>
      <c r="AJ790" s="13"/>
      <c r="AK790" s="13"/>
      <c r="AL790" s="13"/>
    </row>
    <row r="791" spans="31:38">
      <c r="AE791" s="13"/>
      <c r="AF791" s="13"/>
      <c r="AG791" s="13"/>
      <c r="AH791" s="13"/>
      <c r="AI791" s="13"/>
      <c r="AJ791" s="13"/>
      <c r="AK791" s="13"/>
      <c r="AL791" s="13"/>
    </row>
    <row r="792" spans="31:38">
      <c r="AE792" s="13"/>
      <c r="AF792" s="13"/>
      <c r="AG792" s="13"/>
      <c r="AH792" s="13"/>
      <c r="AI792" s="13"/>
      <c r="AJ792" s="13"/>
      <c r="AK792" s="13"/>
      <c r="AL792" s="13"/>
    </row>
    <row r="793" spans="31:38">
      <c r="AE793" s="13"/>
      <c r="AF793" s="13"/>
      <c r="AG793" s="13"/>
      <c r="AH793" s="13"/>
      <c r="AI793" s="13"/>
      <c r="AJ793" s="13"/>
      <c r="AK793" s="13"/>
      <c r="AL793" s="13"/>
    </row>
    <row r="794" spans="31:38">
      <c r="AE794" s="13"/>
      <c r="AF794" s="13"/>
      <c r="AG794" s="13"/>
      <c r="AH794" s="13"/>
      <c r="AI794" s="13"/>
      <c r="AJ794" s="13"/>
      <c r="AK794" s="13"/>
      <c r="AL794" s="13"/>
    </row>
    <row r="795" spans="31:38">
      <c r="AE795" s="13"/>
      <c r="AF795" s="13"/>
      <c r="AG795" s="13"/>
      <c r="AH795" s="13"/>
      <c r="AI795" s="13"/>
      <c r="AJ795" s="13"/>
      <c r="AK795" s="13"/>
      <c r="AL795" s="13"/>
    </row>
    <row r="796" spans="31:38">
      <c r="AE796" s="13"/>
      <c r="AF796" s="13"/>
      <c r="AG796" s="13"/>
      <c r="AH796" s="13"/>
      <c r="AI796" s="13"/>
      <c r="AJ796" s="13"/>
      <c r="AK796" s="13"/>
      <c r="AL796" s="13"/>
    </row>
    <row r="797" spans="31:38">
      <c r="AE797" s="13"/>
      <c r="AF797" s="13"/>
      <c r="AG797" s="13"/>
      <c r="AH797" s="13"/>
      <c r="AI797" s="13"/>
      <c r="AJ797" s="13"/>
      <c r="AK797" s="13"/>
      <c r="AL797" s="13"/>
    </row>
    <row r="798" spans="31:38">
      <c r="AE798" s="13"/>
      <c r="AF798" s="13"/>
      <c r="AG798" s="13"/>
      <c r="AH798" s="13"/>
      <c r="AI798" s="13"/>
      <c r="AJ798" s="13"/>
      <c r="AK798" s="13"/>
      <c r="AL798" s="13"/>
    </row>
    <row r="799" spans="31:38">
      <c r="AE799" s="13"/>
      <c r="AF799" s="13"/>
      <c r="AG799" s="13"/>
      <c r="AH799" s="13"/>
      <c r="AI799" s="13"/>
      <c r="AJ799" s="13"/>
      <c r="AK799" s="13"/>
      <c r="AL799" s="13"/>
    </row>
    <row r="800" spans="31:38">
      <c r="AE800" s="13"/>
      <c r="AF800" s="13"/>
      <c r="AG800" s="13"/>
      <c r="AH800" s="13"/>
      <c r="AI800" s="13"/>
      <c r="AJ800" s="13"/>
      <c r="AK800" s="13"/>
      <c r="AL800" s="13"/>
    </row>
    <row r="801" spans="31:38">
      <c r="AE801" s="13"/>
      <c r="AF801" s="13"/>
      <c r="AG801" s="13"/>
      <c r="AH801" s="13"/>
      <c r="AI801" s="13"/>
      <c r="AJ801" s="13"/>
      <c r="AK801" s="13"/>
      <c r="AL801" s="13"/>
    </row>
    <row r="802" spans="31:38">
      <c r="AE802" s="13"/>
      <c r="AF802" s="13"/>
      <c r="AG802" s="13"/>
      <c r="AH802" s="13"/>
      <c r="AI802" s="13"/>
      <c r="AJ802" s="13"/>
      <c r="AK802" s="13"/>
      <c r="AL802" s="13"/>
    </row>
    <row r="803" spans="31:38">
      <c r="AE803" s="13"/>
      <c r="AF803" s="13"/>
      <c r="AG803" s="13"/>
      <c r="AH803" s="13"/>
      <c r="AI803" s="13"/>
      <c r="AJ803" s="13"/>
      <c r="AK803" s="13"/>
      <c r="AL803" s="13"/>
    </row>
    <row r="804" spans="31:38">
      <c r="AE804" s="13"/>
      <c r="AF804" s="13"/>
      <c r="AG804" s="13"/>
      <c r="AH804" s="13"/>
      <c r="AI804" s="13"/>
      <c r="AJ804" s="13"/>
      <c r="AK804" s="13"/>
      <c r="AL804" s="13"/>
    </row>
    <row r="805" spans="31:38">
      <c r="AE805" s="13"/>
      <c r="AF805" s="13"/>
      <c r="AG805" s="13"/>
      <c r="AH805" s="13"/>
      <c r="AI805" s="13"/>
      <c r="AJ805" s="13"/>
      <c r="AK805" s="13"/>
      <c r="AL805" s="13"/>
    </row>
    <row r="806" spans="31:38">
      <c r="AE806" s="13"/>
      <c r="AF806" s="13"/>
      <c r="AG806" s="13"/>
      <c r="AH806" s="13"/>
      <c r="AI806" s="13"/>
      <c r="AJ806" s="13"/>
      <c r="AK806" s="13"/>
      <c r="AL806" s="13"/>
    </row>
    <row r="807" spans="31:38">
      <c r="AE807" s="13"/>
      <c r="AF807" s="13"/>
      <c r="AG807" s="13"/>
      <c r="AH807" s="13"/>
      <c r="AI807" s="13"/>
      <c r="AJ807" s="13"/>
      <c r="AK807" s="13"/>
      <c r="AL807" s="13"/>
    </row>
    <row r="808" spans="31:38">
      <c r="AE808" s="13"/>
      <c r="AF808" s="13"/>
      <c r="AG808" s="13"/>
      <c r="AH808" s="13"/>
      <c r="AI808" s="13"/>
      <c r="AJ808" s="13"/>
      <c r="AK808" s="13"/>
      <c r="AL808" s="13"/>
    </row>
    <row r="809" spans="31:38">
      <c r="AE809" s="13"/>
      <c r="AF809" s="13"/>
      <c r="AG809" s="13"/>
      <c r="AH809" s="13"/>
      <c r="AI809" s="13"/>
      <c r="AJ809" s="13"/>
      <c r="AK809" s="13"/>
      <c r="AL809" s="13"/>
    </row>
    <row r="810" spans="31:38">
      <c r="AE810" s="13"/>
      <c r="AF810" s="13"/>
      <c r="AG810" s="13"/>
      <c r="AH810" s="13"/>
      <c r="AI810" s="13"/>
      <c r="AJ810" s="13"/>
      <c r="AK810" s="13"/>
      <c r="AL810" s="13"/>
    </row>
    <row r="811" spans="31:38">
      <c r="AE811" s="13"/>
      <c r="AF811" s="13"/>
      <c r="AG811" s="13"/>
      <c r="AH811" s="13"/>
      <c r="AI811" s="13"/>
      <c r="AJ811" s="13"/>
      <c r="AK811" s="13"/>
      <c r="AL811" s="13"/>
    </row>
    <row r="812" spans="31:38">
      <c r="AE812" s="13"/>
      <c r="AF812" s="13"/>
      <c r="AG812" s="13"/>
      <c r="AH812" s="13"/>
      <c r="AI812" s="13"/>
      <c r="AJ812" s="13"/>
      <c r="AK812" s="13"/>
      <c r="AL812" s="13"/>
    </row>
    <row r="813" spans="31:38">
      <c r="AE813" s="13"/>
      <c r="AF813" s="13"/>
      <c r="AG813" s="13"/>
      <c r="AH813" s="13"/>
      <c r="AI813" s="13"/>
      <c r="AJ813" s="13"/>
      <c r="AK813" s="13"/>
      <c r="AL813" s="13"/>
    </row>
    <row r="814" spans="31:38">
      <c r="AE814" s="13"/>
      <c r="AF814" s="13"/>
      <c r="AG814" s="13"/>
      <c r="AH814" s="13"/>
      <c r="AI814" s="13"/>
      <c r="AJ814" s="13"/>
      <c r="AK814" s="13"/>
      <c r="AL814" s="13"/>
    </row>
    <row r="815" spans="31:38">
      <c r="AE815" s="13"/>
      <c r="AF815" s="13"/>
      <c r="AG815" s="13"/>
      <c r="AH815" s="13"/>
      <c r="AI815" s="13"/>
      <c r="AJ815" s="13"/>
      <c r="AK815" s="13"/>
      <c r="AL815" s="13"/>
    </row>
    <row r="816" spans="31:38">
      <c r="AE816" s="13"/>
      <c r="AF816" s="13"/>
      <c r="AG816" s="13"/>
      <c r="AH816" s="13"/>
      <c r="AI816" s="13"/>
      <c r="AJ816" s="13"/>
      <c r="AK816" s="13"/>
      <c r="AL816" s="13"/>
    </row>
    <row r="817" spans="31:38">
      <c r="AE817" s="13"/>
      <c r="AF817" s="13"/>
      <c r="AG817" s="13"/>
      <c r="AH817" s="13"/>
      <c r="AI817" s="13"/>
      <c r="AJ817" s="13"/>
      <c r="AK817" s="13"/>
      <c r="AL817" s="13"/>
    </row>
    <row r="818" spans="31:38">
      <c r="AE818" s="13"/>
      <c r="AF818" s="13"/>
      <c r="AG818" s="13"/>
      <c r="AH818" s="13"/>
      <c r="AI818" s="13"/>
      <c r="AJ818" s="13"/>
      <c r="AK818" s="13"/>
      <c r="AL818" s="13"/>
    </row>
    <row r="819" spans="31:38">
      <c r="AE819" s="13"/>
      <c r="AF819" s="13"/>
      <c r="AG819" s="13"/>
      <c r="AH819" s="13"/>
      <c r="AI819" s="13"/>
      <c r="AJ819" s="13"/>
      <c r="AK819" s="13"/>
      <c r="AL819" s="13"/>
    </row>
    <row r="820" spans="31:38">
      <c r="AE820" s="13"/>
      <c r="AF820" s="13"/>
      <c r="AG820" s="13"/>
      <c r="AH820" s="13"/>
      <c r="AI820" s="13"/>
      <c r="AJ820" s="13"/>
      <c r="AK820" s="13"/>
      <c r="AL820" s="13"/>
    </row>
    <row r="821" spans="31:38">
      <c r="AE821" s="13"/>
      <c r="AF821" s="13"/>
      <c r="AG821" s="13"/>
      <c r="AH821" s="13"/>
      <c r="AI821" s="13"/>
      <c r="AJ821" s="13"/>
      <c r="AK821" s="13"/>
      <c r="AL821" s="13"/>
    </row>
    <row r="822" spans="31:38">
      <c r="AE822" s="13"/>
      <c r="AF822" s="13"/>
      <c r="AG822" s="13"/>
      <c r="AH822" s="13"/>
      <c r="AI822" s="13"/>
      <c r="AJ822" s="13"/>
      <c r="AK822" s="13"/>
      <c r="AL822" s="13"/>
    </row>
    <row r="823" spans="31:38">
      <c r="AE823" s="13"/>
      <c r="AF823" s="13"/>
      <c r="AG823" s="13"/>
      <c r="AH823" s="13"/>
      <c r="AI823" s="13"/>
      <c r="AJ823" s="13"/>
      <c r="AK823" s="13"/>
      <c r="AL823" s="13"/>
    </row>
    <row r="824" spans="31:38">
      <c r="AE824" s="13"/>
      <c r="AF824" s="13"/>
      <c r="AG824" s="13"/>
      <c r="AH824" s="13"/>
      <c r="AI824" s="13"/>
      <c r="AJ824" s="13"/>
      <c r="AK824" s="13"/>
      <c r="AL824" s="13"/>
    </row>
    <row r="825" spans="31:38">
      <c r="AE825" s="13"/>
      <c r="AF825" s="13"/>
      <c r="AG825" s="13"/>
      <c r="AH825" s="13"/>
      <c r="AI825" s="13"/>
      <c r="AJ825" s="13"/>
      <c r="AK825" s="13"/>
      <c r="AL825" s="13"/>
    </row>
    <row r="826" spans="31:38">
      <c r="AE826" s="13"/>
      <c r="AF826" s="13"/>
      <c r="AG826" s="13"/>
      <c r="AH826" s="13"/>
      <c r="AI826" s="13"/>
      <c r="AJ826" s="13"/>
      <c r="AK826" s="13"/>
      <c r="AL826" s="13"/>
    </row>
    <row r="827" spans="31:38">
      <c r="AE827" s="13"/>
      <c r="AF827" s="13"/>
      <c r="AG827" s="13"/>
      <c r="AH827" s="13"/>
      <c r="AI827" s="13"/>
      <c r="AJ827" s="13"/>
      <c r="AK827" s="13"/>
      <c r="AL827" s="13"/>
    </row>
    <row r="828" spans="31:38">
      <c r="AE828" s="13"/>
      <c r="AF828" s="13"/>
      <c r="AG828" s="13"/>
      <c r="AH828" s="13"/>
      <c r="AI828" s="13"/>
      <c r="AJ828" s="13"/>
      <c r="AK828" s="13"/>
      <c r="AL828" s="13"/>
    </row>
    <row r="829" spans="31:38">
      <c r="AE829" s="13"/>
      <c r="AF829" s="13"/>
      <c r="AG829" s="13"/>
      <c r="AH829" s="13"/>
      <c r="AI829" s="13"/>
      <c r="AJ829" s="13"/>
      <c r="AK829" s="13"/>
      <c r="AL829" s="13"/>
    </row>
    <row r="830" spans="31:38">
      <c r="AE830" s="13"/>
      <c r="AF830" s="13"/>
      <c r="AG830" s="13"/>
      <c r="AH830" s="13"/>
      <c r="AI830" s="13"/>
      <c r="AJ830" s="13"/>
      <c r="AK830" s="13"/>
      <c r="AL830" s="13"/>
    </row>
    <row r="831" spans="31:38">
      <c r="AE831" s="13"/>
      <c r="AF831" s="13"/>
      <c r="AG831" s="13"/>
      <c r="AH831" s="13"/>
      <c r="AI831" s="13"/>
      <c r="AJ831" s="13"/>
      <c r="AK831" s="13"/>
      <c r="AL831" s="13"/>
    </row>
    <row r="832" spans="31:38">
      <c r="AE832" s="13"/>
      <c r="AF832" s="13"/>
      <c r="AG832" s="13"/>
      <c r="AH832" s="13"/>
      <c r="AI832" s="13"/>
      <c r="AJ832" s="13"/>
      <c r="AK832" s="13"/>
      <c r="AL832" s="13"/>
    </row>
    <row r="833" spans="31:38">
      <c r="AE833" s="13"/>
      <c r="AF833" s="13"/>
      <c r="AG833" s="13"/>
      <c r="AH833" s="13"/>
      <c r="AI833" s="13"/>
      <c r="AJ833" s="13"/>
      <c r="AK833" s="13"/>
      <c r="AL833" s="13"/>
    </row>
    <row r="834" spans="31:38">
      <c r="AE834" s="13"/>
      <c r="AF834" s="13"/>
      <c r="AG834" s="13"/>
      <c r="AH834" s="13"/>
      <c r="AI834" s="13"/>
      <c r="AJ834" s="13"/>
      <c r="AK834" s="13"/>
      <c r="AL834" s="13"/>
    </row>
    <row r="835" spans="31:38">
      <c r="AE835" s="13"/>
      <c r="AF835" s="13"/>
      <c r="AG835" s="13"/>
      <c r="AH835" s="13"/>
      <c r="AI835" s="13"/>
      <c r="AJ835" s="13"/>
      <c r="AK835" s="13"/>
      <c r="AL835" s="13"/>
    </row>
    <row r="836" spans="31:38">
      <c r="AE836" s="13"/>
      <c r="AF836" s="13"/>
      <c r="AG836" s="13"/>
      <c r="AH836" s="13"/>
      <c r="AI836" s="13"/>
      <c r="AJ836" s="13"/>
      <c r="AK836" s="13"/>
      <c r="AL836" s="13"/>
    </row>
    <row r="837" spans="31:38">
      <c r="AE837" s="13"/>
      <c r="AF837" s="13"/>
      <c r="AG837" s="13"/>
      <c r="AH837" s="13"/>
      <c r="AI837" s="13"/>
      <c r="AJ837" s="13"/>
      <c r="AK837" s="13"/>
      <c r="AL837" s="13"/>
    </row>
    <row r="838" spans="31:38">
      <c r="AE838" s="13"/>
      <c r="AF838" s="13"/>
      <c r="AG838" s="13"/>
      <c r="AH838" s="13"/>
      <c r="AI838" s="13"/>
      <c r="AJ838" s="13"/>
      <c r="AK838" s="13"/>
      <c r="AL838" s="13"/>
    </row>
    <row r="839" spans="31:38">
      <c r="AE839" s="13"/>
      <c r="AF839" s="13"/>
      <c r="AG839" s="13"/>
      <c r="AH839" s="13"/>
      <c r="AI839" s="13"/>
      <c r="AJ839" s="13"/>
      <c r="AK839" s="13"/>
      <c r="AL839" s="13"/>
    </row>
    <row r="840" spans="31:38">
      <c r="AE840" s="13"/>
      <c r="AF840" s="13"/>
      <c r="AG840" s="13"/>
      <c r="AH840" s="13"/>
      <c r="AI840" s="13"/>
      <c r="AJ840" s="13"/>
      <c r="AK840" s="13"/>
      <c r="AL840" s="13"/>
    </row>
    <row r="841" spans="31:38">
      <c r="AE841" s="13"/>
      <c r="AF841" s="13"/>
      <c r="AG841" s="13"/>
      <c r="AH841" s="13"/>
      <c r="AI841" s="13"/>
      <c r="AJ841" s="13"/>
      <c r="AK841" s="13"/>
      <c r="AL841" s="13"/>
    </row>
    <row r="842" spans="31:38">
      <c r="AE842" s="13"/>
      <c r="AF842" s="13"/>
      <c r="AG842" s="13"/>
      <c r="AH842" s="13"/>
      <c r="AI842" s="13"/>
      <c r="AJ842" s="13"/>
      <c r="AK842" s="13"/>
      <c r="AL842" s="13"/>
    </row>
    <row r="843" spans="31:38">
      <c r="AE843" s="13"/>
      <c r="AF843" s="13"/>
      <c r="AG843" s="13"/>
      <c r="AH843" s="13"/>
      <c r="AI843" s="13"/>
      <c r="AJ843" s="13"/>
      <c r="AK843" s="13"/>
      <c r="AL843" s="13"/>
    </row>
    <row r="844" spans="31:38">
      <c r="AE844" s="13"/>
      <c r="AF844" s="13"/>
      <c r="AG844" s="13"/>
      <c r="AH844" s="13"/>
      <c r="AI844" s="13"/>
      <c r="AJ844" s="13"/>
      <c r="AK844" s="13"/>
      <c r="AL844" s="13"/>
    </row>
    <row r="845" spans="31:38">
      <c r="AE845" s="13"/>
      <c r="AF845" s="13"/>
      <c r="AG845" s="13"/>
      <c r="AH845" s="13"/>
      <c r="AI845" s="13"/>
      <c r="AJ845" s="13"/>
      <c r="AK845" s="13"/>
      <c r="AL845" s="13"/>
    </row>
    <row r="846" spans="31:38">
      <c r="AE846" s="13"/>
      <c r="AF846" s="13"/>
      <c r="AG846" s="13"/>
      <c r="AH846" s="13"/>
      <c r="AI846" s="13"/>
      <c r="AJ846" s="13"/>
      <c r="AK846" s="13"/>
      <c r="AL846" s="13"/>
    </row>
    <row r="847" spans="31:38">
      <c r="AE847" s="13"/>
      <c r="AF847" s="13"/>
      <c r="AG847" s="13"/>
      <c r="AH847" s="13"/>
      <c r="AI847" s="13"/>
      <c r="AJ847" s="13"/>
      <c r="AK847" s="13"/>
      <c r="AL847" s="13"/>
    </row>
    <row r="848" spans="31:38">
      <c r="AE848" s="13"/>
      <c r="AF848" s="13"/>
      <c r="AG848" s="13"/>
      <c r="AH848" s="13"/>
      <c r="AI848" s="13"/>
      <c r="AJ848" s="13"/>
      <c r="AK848" s="13"/>
      <c r="AL848" s="13"/>
    </row>
    <row r="849" spans="31:38">
      <c r="AE849" s="13"/>
      <c r="AF849" s="13"/>
      <c r="AG849" s="13"/>
      <c r="AH849" s="13"/>
      <c r="AI849" s="13"/>
      <c r="AJ849" s="13"/>
      <c r="AK849" s="13"/>
      <c r="AL849" s="13"/>
    </row>
    <row r="850" spans="31:38">
      <c r="AE850" s="13"/>
      <c r="AF850" s="13"/>
      <c r="AG850" s="13"/>
      <c r="AH850" s="13"/>
      <c r="AI850" s="13"/>
      <c r="AJ850" s="13"/>
      <c r="AK850" s="13"/>
      <c r="AL850" s="13"/>
    </row>
    <row r="851" spans="31:38">
      <c r="AE851" s="13"/>
      <c r="AF851" s="13"/>
      <c r="AG851" s="13"/>
      <c r="AH851" s="13"/>
      <c r="AI851" s="13"/>
      <c r="AJ851" s="13"/>
      <c r="AK851" s="13"/>
      <c r="AL851" s="13"/>
    </row>
    <row r="852" spans="31:38">
      <c r="AE852" s="13"/>
      <c r="AF852" s="13"/>
      <c r="AG852" s="13"/>
      <c r="AH852" s="13"/>
      <c r="AI852" s="13"/>
      <c r="AJ852" s="13"/>
      <c r="AK852" s="13"/>
      <c r="AL852" s="13"/>
    </row>
    <row r="853" spans="31:38">
      <c r="AE853" s="13"/>
      <c r="AF853" s="13"/>
      <c r="AG853" s="13"/>
      <c r="AH853" s="13"/>
      <c r="AI853" s="13"/>
      <c r="AJ853" s="13"/>
      <c r="AK853" s="13"/>
      <c r="AL853" s="13"/>
    </row>
    <row r="854" spans="31:38">
      <c r="AE854" s="13"/>
      <c r="AF854" s="13"/>
      <c r="AG854" s="13"/>
      <c r="AH854" s="13"/>
      <c r="AI854" s="13"/>
      <c r="AJ854" s="13"/>
      <c r="AK854" s="13"/>
      <c r="AL854" s="13"/>
    </row>
    <row r="855" spans="31:38">
      <c r="AE855" s="13"/>
      <c r="AF855" s="13"/>
      <c r="AG855" s="13"/>
      <c r="AH855" s="13"/>
      <c r="AI855" s="13"/>
      <c r="AJ855" s="13"/>
      <c r="AK855" s="13"/>
      <c r="AL855" s="13"/>
    </row>
    <row r="856" spans="31:38">
      <c r="AE856" s="13"/>
      <c r="AF856" s="13"/>
      <c r="AG856" s="13"/>
      <c r="AH856" s="13"/>
      <c r="AI856" s="13"/>
      <c r="AJ856" s="13"/>
      <c r="AK856" s="13"/>
      <c r="AL856" s="13"/>
    </row>
    <row r="857" spans="31:38">
      <c r="AE857" s="13"/>
      <c r="AF857" s="13"/>
      <c r="AG857" s="13"/>
      <c r="AH857" s="13"/>
      <c r="AI857" s="13"/>
      <c r="AJ857" s="13"/>
      <c r="AK857" s="13"/>
      <c r="AL857" s="13"/>
    </row>
    <row r="858" spans="31:38">
      <c r="AE858" s="13"/>
      <c r="AF858" s="13"/>
      <c r="AG858" s="13"/>
      <c r="AH858" s="13"/>
      <c r="AI858" s="13"/>
      <c r="AJ858" s="13"/>
      <c r="AK858" s="13"/>
      <c r="AL858" s="13"/>
    </row>
    <row r="859" spans="31:38">
      <c r="AE859" s="13"/>
      <c r="AF859" s="13"/>
      <c r="AG859" s="13"/>
      <c r="AH859" s="13"/>
      <c r="AI859" s="13"/>
      <c r="AJ859" s="13"/>
      <c r="AK859" s="13"/>
      <c r="AL859" s="13"/>
    </row>
    <row r="860" spans="31:38">
      <c r="AE860" s="13"/>
      <c r="AF860" s="13"/>
      <c r="AG860" s="13"/>
      <c r="AH860" s="13"/>
      <c r="AI860" s="13"/>
      <c r="AJ860" s="13"/>
      <c r="AK860" s="13"/>
      <c r="AL860" s="13"/>
    </row>
    <row r="861" spans="31:38">
      <c r="AE861" s="13"/>
      <c r="AF861" s="13"/>
      <c r="AG861" s="13"/>
      <c r="AH861" s="13"/>
      <c r="AI861" s="13"/>
      <c r="AJ861" s="13"/>
      <c r="AK861" s="13"/>
      <c r="AL861" s="13"/>
    </row>
    <row r="862" spans="31:38">
      <c r="AE862" s="13"/>
      <c r="AF862" s="13"/>
      <c r="AG862" s="13"/>
      <c r="AH862" s="13"/>
      <c r="AI862" s="13"/>
      <c r="AJ862" s="13"/>
      <c r="AK862" s="13"/>
      <c r="AL862" s="13"/>
    </row>
    <row r="863" spans="31:38">
      <c r="AE863" s="13"/>
      <c r="AF863" s="13"/>
      <c r="AG863" s="13"/>
      <c r="AH863" s="13"/>
      <c r="AI863" s="13"/>
      <c r="AJ863" s="13"/>
      <c r="AK863" s="13"/>
      <c r="AL863" s="13"/>
    </row>
    <row r="864" spans="31:38">
      <c r="AE864" s="13"/>
      <c r="AF864" s="13"/>
      <c r="AG864" s="13"/>
      <c r="AH864" s="13"/>
      <c r="AI864" s="13"/>
      <c r="AJ864" s="13"/>
      <c r="AK864" s="13"/>
      <c r="AL864" s="13"/>
    </row>
    <row r="865" spans="31:38">
      <c r="AE865" s="13"/>
      <c r="AF865" s="13"/>
      <c r="AG865" s="13"/>
      <c r="AH865" s="13"/>
      <c r="AI865" s="13"/>
      <c r="AJ865" s="13"/>
      <c r="AK865" s="13"/>
      <c r="AL865" s="13"/>
    </row>
    <row r="866" spans="31:38">
      <c r="AE866" s="13"/>
      <c r="AF866" s="13"/>
      <c r="AG866" s="13"/>
      <c r="AH866" s="13"/>
      <c r="AI866" s="13"/>
      <c r="AJ866" s="13"/>
      <c r="AK866" s="13"/>
      <c r="AL866" s="13"/>
    </row>
    <row r="867" spans="31:38">
      <c r="AE867" s="13"/>
      <c r="AF867" s="13"/>
      <c r="AG867" s="13"/>
      <c r="AH867" s="13"/>
      <c r="AI867" s="13"/>
      <c r="AJ867" s="13"/>
      <c r="AK867" s="13"/>
      <c r="AL867" s="13"/>
    </row>
    <row r="868" spans="31:38">
      <c r="AE868" s="13"/>
      <c r="AF868" s="13"/>
      <c r="AG868" s="13"/>
      <c r="AH868" s="13"/>
      <c r="AI868" s="13"/>
      <c r="AJ868" s="13"/>
      <c r="AK868" s="13"/>
      <c r="AL868" s="13"/>
    </row>
    <row r="869" spans="31:38">
      <c r="AE869" s="13"/>
      <c r="AF869" s="13"/>
      <c r="AG869" s="13"/>
      <c r="AH869" s="13"/>
      <c r="AI869" s="13"/>
      <c r="AJ869" s="13"/>
      <c r="AK869" s="13"/>
      <c r="AL869" s="13"/>
    </row>
    <row r="870" spans="31:38">
      <c r="AE870" s="13"/>
      <c r="AF870" s="13"/>
      <c r="AG870" s="13"/>
      <c r="AH870" s="13"/>
      <c r="AI870" s="13"/>
      <c r="AJ870" s="13"/>
      <c r="AK870" s="13"/>
      <c r="AL870" s="13"/>
    </row>
    <row r="871" spans="31:38">
      <c r="AE871" s="13"/>
      <c r="AF871" s="13"/>
      <c r="AG871" s="13"/>
      <c r="AH871" s="13"/>
      <c r="AI871" s="13"/>
      <c r="AJ871" s="13"/>
      <c r="AK871" s="13"/>
      <c r="AL871" s="13"/>
    </row>
    <row r="872" spans="31:38">
      <c r="AE872" s="13"/>
      <c r="AF872" s="13"/>
      <c r="AG872" s="13"/>
      <c r="AH872" s="13"/>
      <c r="AI872" s="13"/>
      <c r="AJ872" s="13"/>
      <c r="AK872" s="13"/>
      <c r="AL872" s="13"/>
    </row>
    <row r="873" spans="31:38">
      <c r="AE873" s="13"/>
      <c r="AF873" s="13"/>
      <c r="AG873" s="13"/>
      <c r="AH873" s="13"/>
      <c r="AI873" s="13"/>
      <c r="AJ873" s="13"/>
      <c r="AK873" s="13"/>
      <c r="AL873" s="13"/>
    </row>
    <row r="874" spans="31:38">
      <c r="AE874" s="13"/>
      <c r="AF874" s="13"/>
      <c r="AG874" s="13"/>
      <c r="AH874" s="13"/>
      <c r="AI874" s="13"/>
      <c r="AJ874" s="13"/>
      <c r="AK874" s="13"/>
      <c r="AL874" s="13"/>
    </row>
    <row r="875" spans="31:38">
      <c r="AE875" s="13"/>
      <c r="AF875" s="13"/>
      <c r="AG875" s="13"/>
      <c r="AH875" s="13"/>
      <c r="AI875" s="13"/>
      <c r="AJ875" s="13"/>
      <c r="AK875" s="13"/>
      <c r="AL875" s="13"/>
    </row>
    <row r="876" spans="31:38">
      <c r="AE876" s="13"/>
      <c r="AF876" s="13"/>
      <c r="AG876" s="13"/>
      <c r="AH876" s="13"/>
      <c r="AI876" s="13"/>
      <c r="AJ876" s="13"/>
      <c r="AK876" s="13"/>
      <c r="AL876" s="13"/>
    </row>
    <row r="877" spans="31:38">
      <c r="AE877" s="13"/>
      <c r="AF877" s="13"/>
      <c r="AG877" s="13"/>
      <c r="AH877" s="13"/>
      <c r="AI877" s="13"/>
      <c r="AJ877" s="13"/>
      <c r="AK877" s="13"/>
      <c r="AL877" s="13"/>
    </row>
    <row r="878" spans="31:38">
      <c r="AE878" s="13"/>
      <c r="AF878" s="13"/>
      <c r="AG878" s="13"/>
      <c r="AH878" s="13"/>
      <c r="AI878" s="13"/>
      <c r="AJ878" s="13"/>
      <c r="AK878" s="13"/>
      <c r="AL878" s="13"/>
    </row>
    <row r="879" spans="31:38">
      <c r="AE879" s="13"/>
      <c r="AF879" s="13"/>
      <c r="AG879" s="13"/>
      <c r="AH879" s="13"/>
      <c r="AI879" s="13"/>
      <c r="AJ879" s="13"/>
      <c r="AK879" s="13"/>
      <c r="AL879" s="13"/>
    </row>
    <row r="880" spans="31:38">
      <c r="AE880" s="13"/>
      <c r="AF880" s="13"/>
      <c r="AG880" s="13"/>
      <c r="AH880" s="13"/>
      <c r="AI880" s="13"/>
      <c r="AJ880" s="13"/>
      <c r="AK880" s="13"/>
      <c r="AL880" s="13"/>
    </row>
    <row r="881" spans="31:38">
      <c r="AE881" s="13"/>
      <c r="AF881" s="13"/>
      <c r="AG881" s="13"/>
      <c r="AH881" s="13"/>
      <c r="AI881" s="13"/>
      <c r="AJ881" s="13"/>
      <c r="AK881" s="13"/>
      <c r="AL881" s="13"/>
    </row>
    <row r="882" spans="31:38">
      <c r="AE882" s="13"/>
      <c r="AF882" s="13"/>
      <c r="AG882" s="13"/>
      <c r="AH882" s="13"/>
      <c r="AI882" s="13"/>
      <c r="AJ882" s="13"/>
      <c r="AK882" s="13"/>
      <c r="AL882" s="13"/>
    </row>
    <row r="883" spans="31:38">
      <c r="AE883" s="13"/>
      <c r="AF883" s="13"/>
      <c r="AG883" s="13"/>
      <c r="AH883" s="13"/>
      <c r="AI883" s="13"/>
      <c r="AJ883" s="13"/>
      <c r="AK883" s="13"/>
      <c r="AL883" s="13"/>
    </row>
    <row r="884" spans="31:38">
      <c r="AE884" s="13"/>
      <c r="AF884" s="13"/>
      <c r="AG884" s="13"/>
      <c r="AH884" s="13"/>
      <c r="AI884" s="13"/>
      <c r="AJ884" s="13"/>
      <c r="AK884" s="13"/>
      <c r="AL884" s="13"/>
    </row>
    <row r="885" spans="31:38">
      <c r="AE885" s="13"/>
      <c r="AF885" s="13"/>
      <c r="AG885" s="13"/>
      <c r="AH885" s="13"/>
      <c r="AI885" s="13"/>
      <c r="AJ885" s="13"/>
      <c r="AK885" s="13"/>
      <c r="AL885" s="13"/>
    </row>
    <row r="886" spans="31:38">
      <c r="AE886" s="13"/>
      <c r="AF886" s="13"/>
      <c r="AG886" s="13"/>
      <c r="AH886" s="13"/>
      <c r="AI886" s="13"/>
      <c r="AJ886" s="13"/>
      <c r="AK886" s="13"/>
      <c r="AL886" s="13"/>
    </row>
    <row r="887" spans="31:38">
      <c r="AE887" s="13"/>
      <c r="AF887" s="13"/>
      <c r="AG887" s="13"/>
      <c r="AH887" s="13"/>
      <c r="AI887" s="13"/>
      <c r="AJ887" s="13"/>
      <c r="AK887" s="13"/>
      <c r="AL887" s="13"/>
    </row>
    <row r="888" spans="31:38">
      <c r="AE888" s="13"/>
      <c r="AF888" s="13"/>
      <c r="AG888" s="13"/>
      <c r="AH888" s="13"/>
      <c r="AI888" s="13"/>
      <c r="AJ888" s="13"/>
      <c r="AK888" s="13"/>
      <c r="AL888" s="13"/>
    </row>
    <row r="889" spans="31:38">
      <c r="AE889" s="13"/>
      <c r="AF889" s="13"/>
      <c r="AG889" s="13"/>
      <c r="AH889" s="13"/>
      <c r="AI889" s="13"/>
      <c r="AJ889" s="13"/>
      <c r="AK889" s="13"/>
      <c r="AL889" s="13"/>
    </row>
    <row r="890" spans="31:38">
      <c r="AE890" s="13"/>
      <c r="AF890" s="13"/>
      <c r="AG890" s="13"/>
      <c r="AH890" s="13"/>
      <c r="AI890" s="13"/>
      <c r="AJ890" s="13"/>
      <c r="AK890" s="13"/>
      <c r="AL890" s="13"/>
    </row>
    <row r="891" spans="31:38">
      <c r="AE891" s="13"/>
      <c r="AF891" s="13"/>
      <c r="AG891" s="13"/>
      <c r="AH891" s="13"/>
      <c r="AI891" s="13"/>
      <c r="AJ891" s="13"/>
      <c r="AK891" s="13"/>
      <c r="AL891" s="13"/>
    </row>
    <row r="892" spans="31:38">
      <c r="AE892" s="13"/>
      <c r="AF892" s="13"/>
      <c r="AG892" s="13"/>
      <c r="AH892" s="13"/>
      <c r="AI892" s="13"/>
      <c r="AJ892" s="13"/>
      <c r="AK892" s="13"/>
      <c r="AL892" s="13"/>
    </row>
    <row r="893" spans="31:38">
      <c r="AE893" s="13"/>
      <c r="AF893" s="13"/>
      <c r="AG893" s="13"/>
      <c r="AH893" s="13"/>
      <c r="AI893" s="13"/>
      <c r="AJ893" s="13"/>
      <c r="AK893" s="13"/>
      <c r="AL893" s="13"/>
    </row>
    <row r="894" spans="31:38">
      <c r="AE894" s="13"/>
      <c r="AF894" s="13"/>
      <c r="AG894" s="13"/>
      <c r="AH894" s="13"/>
      <c r="AI894" s="13"/>
      <c r="AJ894" s="13"/>
      <c r="AK894" s="13"/>
      <c r="AL894" s="13"/>
    </row>
    <row r="895" spans="31:38">
      <c r="AE895" s="13"/>
      <c r="AF895" s="13"/>
      <c r="AG895" s="13"/>
      <c r="AH895" s="13"/>
      <c r="AI895" s="13"/>
      <c r="AJ895" s="13"/>
      <c r="AK895" s="13"/>
      <c r="AL895" s="13"/>
    </row>
    <row r="896" spans="31:38">
      <c r="AE896" s="13"/>
      <c r="AF896" s="13"/>
      <c r="AG896" s="13"/>
      <c r="AH896" s="13"/>
      <c r="AI896" s="13"/>
      <c r="AJ896" s="13"/>
      <c r="AK896" s="13"/>
      <c r="AL896" s="13"/>
    </row>
    <row r="897" spans="31:38">
      <c r="AE897" s="13"/>
      <c r="AF897" s="13"/>
      <c r="AG897" s="13"/>
      <c r="AH897" s="13"/>
      <c r="AI897" s="13"/>
      <c r="AJ897" s="13"/>
      <c r="AK897" s="13"/>
      <c r="AL897" s="13"/>
    </row>
    <row r="898" spans="31:38">
      <c r="AE898" s="13"/>
      <c r="AF898" s="13"/>
      <c r="AG898" s="13"/>
      <c r="AH898" s="13"/>
      <c r="AI898" s="13"/>
      <c r="AJ898" s="13"/>
      <c r="AK898" s="13"/>
      <c r="AL898" s="13"/>
    </row>
    <row r="899" spans="31:38">
      <c r="AE899" s="13"/>
      <c r="AF899" s="13"/>
      <c r="AG899" s="13"/>
      <c r="AH899" s="13"/>
      <c r="AI899" s="13"/>
      <c r="AJ899" s="13"/>
      <c r="AK899" s="13"/>
      <c r="AL899" s="13"/>
    </row>
    <row r="900" spans="31:38">
      <c r="AE900" s="13"/>
      <c r="AF900" s="13"/>
      <c r="AG900" s="13"/>
      <c r="AH900" s="13"/>
      <c r="AI900" s="13"/>
      <c r="AJ900" s="13"/>
      <c r="AK900" s="13"/>
      <c r="AL900" s="13"/>
    </row>
    <row r="901" spans="31:38">
      <c r="AE901" s="13"/>
      <c r="AF901" s="13"/>
      <c r="AG901" s="13"/>
      <c r="AH901" s="13"/>
      <c r="AI901" s="13"/>
      <c r="AJ901" s="13"/>
      <c r="AK901" s="13"/>
      <c r="AL901" s="13"/>
    </row>
    <row r="902" spans="31:38">
      <c r="AE902" s="13"/>
      <c r="AF902" s="13"/>
      <c r="AG902" s="13"/>
      <c r="AH902" s="13"/>
      <c r="AI902" s="13"/>
      <c r="AJ902" s="13"/>
      <c r="AK902" s="13"/>
      <c r="AL902" s="13"/>
    </row>
    <row r="903" spans="31:38">
      <c r="AE903" s="13"/>
      <c r="AF903" s="13"/>
      <c r="AG903" s="13"/>
      <c r="AH903" s="13"/>
      <c r="AI903" s="13"/>
      <c r="AJ903" s="13"/>
      <c r="AK903" s="13"/>
      <c r="AL903" s="13"/>
    </row>
    <row r="904" spans="31:38">
      <c r="AE904" s="13"/>
      <c r="AF904" s="13"/>
      <c r="AG904" s="13"/>
      <c r="AH904" s="13"/>
      <c r="AI904" s="13"/>
      <c r="AJ904" s="13"/>
      <c r="AK904" s="13"/>
      <c r="AL904" s="13"/>
    </row>
    <row r="905" spans="31:38">
      <c r="AE905" s="13"/>
      <c r="AF905" s="13"/>
      <c r="AG905" s="13"/>
      <c r="AH905" s="13"/>
      <c r="AI905" s="13"/>
      <c r="AJ905" s="13"/>
      <c r="AK905" s="13"/>
      <c r="AL905" s="13"/>
    </row>
    <row r="906" spans="31:38">
      <c r="AE906" s="13"/>
      <c r="AF906" s="13"/>
      <c r="AG906" s="13"/>
      <c r="AH906" s="13"/>
      <c r="AI906" s="13"/>
      <c r="AJ906" s="13"/>
      <c r="AK906" s="13"/>
      <c r="AL906" s="13"/>
    </row>
    <row r="907" spans="31:38">
      <c r="AE907" s="13"/>
      <c r="AF907" s="13"/>
      <c r="AG907" s="13"/>
      <c r="AH907" s="13"/>
      <c r="AI907" s="13"/>
      <c r="AJ907" s="13"/>
      <c r="AK907" s="13"/>
      <c r="AL907" s="13"/>
    </row>
    <row r="908" spans="31:38">
      <c r="AE908" s="13"/>
      <c r="AF908" s="13"/>
      <c r="AG908" s="13"/>
      <c r="AH908" s="13"/>
      <c r="AI908" s="13"/>
      <c r="AJ908" s="13"/>
      <c r="AK908" s="13"/>
      <c r="AL908" s="13"/>
    </row>
    <row r="909" spans="31:38">
      <c r="AE909" s="13"/>
      <c r="AF909" s="13"/>
      <c r="AG909" s="13"/>
      <c r="AH909" s="13"/>
      <c r="AI909" s="13"/>
      <c r="AJ909" s="13"/>
      <c r="AK909" s="13"/>
      <c r="AL909" s="13"/>
    </row>
    <row r="910" spans="31:38">
      <c r="AE910" s="13"/>
      <c r="AF910" s="13"/>
      <c r="AG910" s="13"/>
      <c r="AH910" s="13"/>
      <c r="AI910" s="13"/>
      <c r="AJ910" s="13"/>
      <c r="AK910" s="13"/>
      <c r="AL910" s="13"/>
    </row>
    <row r="911" spans="31:38">
      <c r="AE911" s="13"/>
      <c r="AF911" s="13"/>
      <c r="AG911" s="13"/>
      <c r="AH911" s="13"/>
      <c r="AI911" s="13"/>
      <c r="AJ911" s="13"/>
      <c r="AK911" s="13"/>
      <c r="AL911" s="13"/>
    </row>
    <row r="912" spans="31:38">
      <c r="AE912" s="13"/>
      <c r="AF912" s="13"/>
      <c r="AG912" s="13"/>
      <c r="AH912" s="13"/>
      <c r="AI912" s="13"/>
      <c r="AJ912" s="13"/>
      <c r="AK912" s="13"/>
      <c r="AL912" s="13"/>
    </row>
    <row r="913" spans="31:38">
      <c r="AE913" s="13"/>
      <c r="AF913" s="13"/>
      <c r="AG913" s="13"/>
      <c r="AH913" s="13"/>
      <c r="AI913" s="13"/>
      <c r="AJ913" s="13"/>
      <c r="AK913" s="13"/>
      <c r="AL913" s="13"/>
    </row>
    <row r="914" spans="31:38">
      <c r="AE914" s="13"/>
      <c r="AF914" s="13"/>
      <c r="AG914" s="13"/>
      <c r="AH914" s="13"/>
      <c r="AI914" s="13"/>
      <c r="AJ914" s="13"/>
      <c r="AK914" s="13"/>
      <c r="AL914" s="13"/>
    </row>
    <row r="915" spans="31:38">
      <c r="AE915" s="13"/>
      <c r="AF915" s="13"/>
      <c r="AG915" s="13"/>
      <c r="AH915" s="13"/>
      <c r="AI915" s="13"/>
      <c r="AJ915" s="13"/>
      <c r="AK915" s="13"/>
      <c r="AL915" s="13"/>
    </row>
    <row r="916" spans="31:38">
      <c r="AE916" s="13"/>
      <c r="AF916" s="13"/>
      <c r="AG916" s="13"/>
      <c r="AH916" s="13"/>
      <c r="AI916" s="13"/>
      <c r="AJ916" s="13"/>
      <c r="AK916" s="13"/>
      <c r="AL916" s="13"/>
    </row>
    <row r="917" spans="31:38">
      <c r="AE917" s="13"/>
      <c r="AF917" s="13"/>
      <c r="AG917" s="13"/>
      <c r="AH917" s="13"/>
      <c r="AI917" s="13"/>
      <c r="AJ917" s="13"/>
      <c r="AK917" s="13"/>
      <c r="AL917" s="13"/>
    </row>
    <row r="918" spans="31:38">
      <c r="AE918" s="13"/>
      <c r="AF918" s="13"/>
      <c r="AG918" s="13"/>
      <c r="AH918" s="13"/>
      <c r="AI918" s="13"/>
      <c r="AJ918" s="13"/>
      <c r="AK918" s="13"/>
      <c r="AL918" s="13"/>
    </row>
    <row r="919" spans="31:38">
      <c r="AE919" s="13"/>
      <c r="AF919" s="13"/>
      <c r="AG919" s="13"/>
      <c r="AH919" s="13"/>
      <c r="AI919" s="13"/>
      <c r="AJ919" s="13"/>
      <c r="AK919" s="13"/>
      <c r="AL919" s="13"/>
    </row>
    <row r="920" spans="31:38">
      <c r="AE920" s="13"/>
      <c r="AF920" s="13"/>
      <c r="AG920" s="13"/>
      <c r="AH920" s="13"/>
      <c r="AI920" s="13"/>
      <c r="AJ920" s="13"/>
      <c r="AK920" s="13"/>
      <c r="AL920" s="13"/>
    </row>
    <row r="921" spans="31:38">
      <c r="AE921" s="13"/>
      <c r="AF921" s="13"/>
      <c r="AG921" s="13"/>
      <c r="AH921" s="13"/>
      <c r="AI921" s="13"/>
      <c r="AJ921" s="13"/>
      <c r="AK921" s="13"/>
      <c r="AL921" s="13"/>
    </row>
    <row r="922" spans="31:38">
      <c r="AE922" s="13"/>
      <c r="AF922" s="13"/>
      <c r="AG922" s="13"/>
      <c r="AH922" s="13"/>
      <c r="AI922" s="13"/>
      <c r="AJ922" s="13"/>
      <c r="AK922" s="13"/>
      <c r="AL922" s="13"/>
    </row>
    <row r="923" spans="31:38">
      <c r="AE923" s="13"/>
      <c r="AF923" s="13"/>
      <c r="AG923" s="13"/>
      <c r="AH923" s="13"/>
      <c r="AI923" s="13"/>
      <c r="AJ923" s="13"/>
      <c r="AK923" s="13"/>
      <c r="AL923" s="13"/>
    </row>
    <row r="924" spans="31:38">
      <c r="AE924" s="13"/>
      <c r="AF924" s="13"/>
      <c r="AG924" s="13"/>
      <c r="AH924" s="13"/>
      <c r="AI924" s="13"/>
      <c r="AJ924" s="13"/>
      <c r="AK924" s="13"/>
      <c r="AL924" s="13"/>
    </row>
    <row r="925" spans="31:38">
      <c r="AE925" s="13"/>
      <c r="AF925" s="13"/>
      <c r="AG925" s="13"/>
      <c r="AH925" s="13"/>
      <c r="AI925" s="13"/>
      <c r="AJ925" s="13"/>
      <c r="AK925" s="13"/>
      <c r="AL925" s="13"/>
    </row>
    <row r="926" spans="31:38">
      <c r="AE926" s="13"/>
      <c r="AF926" s="13"/>
      <c r="AG926" s="13"/>
      <c r="AH926" s="13"/>
      <c r="AI926" s="13"/>
      <c r="AJ926" s="13"/>
      <c r="AK926" s="13"/>
      <c r="AL926" s="13"/>
    </row>
    <row r="927" spans="31:38">
      <c r="AE927" s="13"/>
      <c r="AF927" s="13"/>
      <c r="AG927" s="13"/>
      <c r="AH927" s="13"/>
      <c r="AI927" s="13"/>
      <c r="AJ927" s="13"/>
      <c r="AK927" s="13"/>
      <c r="AL927" s="13"/>
    </row>
    <row r="928" spans="31:38">
      <c r="AE928" s="13"/>
      <c r="AF928" s="13"/>
      <c r="AG928" s="13"/>
      <c r="AH928" s="13"/>
      <c r="AI928" s="13"/>
      <c r="AJ928" s="13"/>
      <c r="AK928" s="13"/>
      <c r="AL928" s="13"/>
    </row>
    <row r="929" spans="31:38">
      <c r="AE929" s="13"/>
      <c r="AF929" s="13"/>
      <c r="AG929" s="13"/>
      <c r="AH929" s="13"/>
      <c r="AI929" s="13"/>
      <c r="AJ929" s="13"/>
      <c r="AK929" s="13"/>
      <c r="AL929" s="13"/>
    </row>
    <row r="930" spans="31:38">
      <c r="AE930" s="13"/>
      <c r="AF930" s="13"/>
      <c r="AG930" s="13"/>
      <c r="AH930" s="13"/>
      <c r="AI930" s="13"/>
      <c r="AJ930" s="13"/>
      <c r="AK930" s="13"/>
      <c r="AL930" s="13"/>
    </row>
    <row r="931" spans="31:38">
      <c r="AE931" s="13"/>
      <c r="AF931" s="13"/>
      <c r="AG931" s="13"/>
      <c r="AH931" s="13"/>
      <c r="AI931" s="13"/>
      <c r="AJ931" s="13"/>
      <c r="AK931" s="13"/>
      <c r="AL931" s="13"/>
    </row>
    <row r="932" spans="31:38">
      <c r="AE932" s="13"/>
      <c r="AF932" s="13"/>
      <c r="AG932" s="13"/>
      <c r="AH932" s="13"/>
      <c r="AI932" s="13"/>
      <c r="AJ932" s="13"/>
      <c r="AK932" s="13"/>
      <c r="AL932" s="13"/>
    </row>
    <row r="933" spans="31:38">
      <c r="AE933" s="13"/>
      <c r="AF933" s="13"/>
      <c r="AG933" s="13"/>
      <c r="AH933" s="13"/>
      <c r="AI933" s="13"/>
      <c r="AJ933" s="13"/>
      <c r="AK933" s="13"/>
      <c r="AL933" s="13"/>
    </row>
    <row r="934" spans="31:38">
      <c r="AE934" s="13"/>
      <c r="AF934" s="13"/>
      <c r="AG934" s="13"/>
      <c r="AH934" s="13"/>
      <c r="AI934" s="13"/>
      <c r="AJ934" s="13"/>
      <c r="AK934" s="13"/>
      <c r="AL934" s="13"/>
    </row>
    <row r="935" spans="31:38">
      <c r="AE935" s="13"/>
      <c r="AF935" s="13"/>
      <c r="AG935" s="13"/>
      <c r="AH935" s="13"/>
      <c r="AI935" s="13"/>
      <c r="AJ935" s="13"/>
      <c r="AK935" s="13"/>
      <c r="AL935" s="13"/>
    </row>
    <row r="936" spans="31:38">
      <c r="AE936" s="13"/>
      <c r="AF936" s="13"/>
      <c r="AG936" s="13"/>
      <c r="AH936" s="13"/>
      <c r="AI936" s="13"/>
      <c r="AJ936" s="13"/>
      <c r="AK936" s="13"/>
      <c r="AL936" s="13"/>
    </row>
    <row r="937" spans="31:38">
      <c r="AE937" s="13"/>
      <c r="AF937" s="13"/>
      <c r="AG937" s="13"/>
      <c r="AH937" s="13"/>
      <c r="AI937" s="13"/>
      <c r="AJ937" s="13"/>
      <c r="AK937" s="13"/>
      <c r="AL937" s="13"/>
    </row>
    <row r="938" spans="31:38">
      <c r="AE938" s="13"/>
      <c r="AF938" s="13"/>
      <c r="AG938" s="13"/>
      <c r="AH938" s="13"/>
      <c r="AI938" s="13"/>
      <c r="AJ938" s="13"/>
      <c r="AK938" s="13"/>
      <c r="AL938" s="13"/>
    </row>
    <row r="939" spans="31:38">
      <c r="AE939" s="13"/>
      <c r="AF939" s="13"/>
      <c r="AG939" s="13"/>
      <c r="AH939" s="13"/>
      <c r="AI939" s="13"/>
      <c r="AJ939" s="13"/>
      <c r="AK939" s="13"/>
      <c r="AL939" s="13"/>
    </row>
    <row r="940" spans="31:38">
      <c r="AE940" s="13"/>
      <c r="AF940" s="13"/>
      <c r="AG940" s="13"/>
      <c r="AH940" s="13"/>
      <c r="AI940" s="13"/>
      <c r="AJ940" s="13"/>
      <c r="AK940" s="13"/>
      <c r="AL940" s="13"/>
    </row>
    <row r="941" spans="31:38">
      <c r="AE941" s="13"/>
      <c r="AF941" s="13"/>
      <c r="AG941" s="13"/>
      <c r="AH941" s="13"/>
      <c r="AI941" s="13"/>
      <c r="AJ941" s="13"/>
      <c r="AK941" s="13"/>
      <c r="AL941" s="13"/>
    </row>
    <row r="942" spans="31:38">
      <c r="AE942" s="13"/>
      <c r="AF942" s="13"/>
      <c r="AG942" s="13"/>
      <c r="AH942" s="13"/>
      <c r="AI942" s="13"/>
      <c r="AJ942" s="13"/>
      <c r="AK942" s="13"/>
      <c r="AL942" s="13"/>
    </row>
    <row r="943" spans="31:38">
      <c r="AE943" s="13"/>
      <c r="AF943" s="13"/>
      <c r="AG943" s="13"/>
      <c r="AH943" s="13"/>
      <c r="AI943" s="13"/>
      <c r="AJ943" s="13"/>
      <c r="AK943" s="13"/>
      <c r="AL943" s="13"/>
    </row>
    <row r="944" spans="31:38">
      <c r="AE944" s="13"/>
      <c r="AF944" s="13"/>
      <c r="AG944" s="13"/>
      <c r="AH944" s="13"/>
      <c r="AI944" s="13"/>
      <c r="AJ944" s="13"/>
      <c r="AK944" s="13"/>
      <c r="AL944" s="13"/>
    </row>
    <row r="945" spans="31:38">
      <c r="AE945" s="13"/>
      <c r="AF945" s="13"/>
      <c r="AG945" s="13"/>
      <c r="AH945" s="13"/>
      <c r="AI945" s="13"/>
      <c r="AJ945" s="13"/>
      <c r="AK945" s="13"/>
      <c r="AL945" s="13"/>
    </row>
    <row r="946" spans="31:38">
      <c r="AE946" s="13"/>
      <c r="AF946" s="13"/>
      <c r="AG946" s="13"/>
      <c r="AH946" s="13"/>
      <c r="AI946" s="13"/>
      <c r="AJ946" s="13"/>
      <c r="AK946" s="13"/>
      <c r="AL946" s="13"/>
    </row>
    <row r="947" spans="31:38">
      <c r="AE947" s="13"/>
      <c r="AF947" s="13"/>
      <c r="AG947" s="13"/>
      <c r="AH947" s="13"/>
      <c r="AI947" s="13"/>
      <c r="AJ947" s="13"/>
      <c r="AK947" s="13"/>
      <c r="AL947" s="13"/>
    </row>
    <row r="948" spans="31:38">
      <c r="AE948" s="13"/>
      <c r="AF948" s="13"/>
      <c r="AG948" s="13"/>
      <c r="AH948" s="13"/>
      <c r="AI948" s="13"/>
      <c r="AJ948" s="13"/>
      <c r="AK948" s="13"/>
      <c r="AL948" s="13"/>
    </row>
    <row r="949" spans="31:38">
      <c r="AE949" s="13"/>
      <c r="AF949" s="13"/>
      <c r="AG949" s="13"/>
      <c r="AH949" s="13"/>
      <c r="AI949" s="13"/>
      <c r="AJ949" s="13"/>
      <c r="AK949" s="13"/>
      <c r="AL949" s="13"/>
    </row>
    <row r="950" spans="31:38">
      <c r="AE950" s="13"/>
      <c r="AF950" s="13"/>
      <c r="AG950" s="13"/>
      <c r="AH950" s="13"/>
      <c r="AI950" s="13"/>
      <c r="AJ950" s="13"/>
      <c r="AK950" s="13"/>
      <c r="AL950" s="13"/>
    </row>
    <row r="951" spans="31:38">
      <c r="AE951" s="13"/>
      <c r="AF951" s="13"/>
      <c r="AG951" s="13"/>
      <c r="AH951" s="13"/>
      <c r="AI951" s="13"/>
      <c r="AJ951" s="13"/>
      <c r="AK951" s="13"/>
      <c r="AL951" s="13"/>
    </row>
    <row r="952" spans="31:38">
      <c r="AE952" s="13"/>
      <c r="AF952" s="13"/>
      <c r="AG952" s="13"/>
      <c r="AH952" s="13"/>
      <c r="AI952" s="13"/>
      <c r="AJ952" s="13"/>
      <c r="AK952" s="13"/>
      <c r="AL952" s="13"/>
    </row>
    <row r="953" spans="31:38">
      <c r="AE953" s="13"/>
      <c r="AF953" s="13"/>
      <c r="AG953" s="13"/>
      <c r="AH953" s="13"/>
      <c r="AI953" s="13"/>
      <c r="AJ953" s="13"/>
      <c r="AK953" s="13"/>
      <c r="AL953" s="13"/>
    </row>
    <row r="954" spans="31:38">
      <c r="AE954" s="13"/>
      <c r="AF954" s="13"/>
      <c r="AG954" s="13"/>
      <c r="AH954" s="13"/>
      <c r="AI954" s="13"/>
      <c r="AJ954" s="13"/>
      <c r="AK954" s="13"/>
      <c r="AL954" s="13"/>
    </row>
    <row r="955" spans="31:38">
      <c r="AE955" s="13"/>
      <c r="AF955" s="13"/>
      <c r="AG955" s="13"/>
      <c r="AH955" s="13"/>
      <c r="AI955" s="13"/>
      <c r="AJ955" s="13"/>
      <c r="AK955" s="13"/>
      <c r="AL955" s="13"/>
    </row>
    <row r="956" spans="31:38">
      <c r="AE956" s="13"/>
      <c r="AF956" s="13"/>
      <c r="AG956" s="13"/>
      <c r="AH956" s="13"/>
      <c r="AI956" s="13"/>
      <c r="AJ956" s="13"/>
      <c r="AK956" s="13"/>
      <c r="AL956" s="13"/>
    </row>
    <row r="957" spans="31:38">
      <c r="AE957" s="13"/>
      <c r="AF957" s="13"/>
      <c r="AG957" s="13"/>
      <c r="AH957" s="13"/>
      <c r="AI957" s="13"/>
      <c r="AJ957" s="13"/>
      <c r="AK957" s="13"/>
      <c r="AL957" s="13"/>
    </row>
    <row r="958" spans="31:38">
      <c r="AE958" s="13"/>
      <c r="AF958" s="13"/>
      <c r="AG958" s="13"/>
      <c r="AH958" s="13"/>
      <c r="AI958" s="13"/>
      <c r="AJ958" s="13"/>
      <c r="AK958" s="13"/>
      <c r="AL958" s="13"/>
    </row>
    <row r="959" spans="31:38">
      <c r="AE959" s="13"/>
      <c r="AF959" s="13"/>
      <c r="AG959" s="13"/>
      <c r="AH959" s="13"/>
      <c r="AI959" s="13"/>
      <c r="AJ959" s="13"/>
      <c r="AK959" s="13"/>
      <c r="AL959" s="13"/>
    </row>
    <row r="960" spans="31:38">
      <c r="AE960" s="13"/>
      <c r="AF960" s="13"/>
      <c r="AG960" s="13"/>
      <c r="AH960" s="13"/>
      <c r="AI960" s="13"/>
      <c r="AJ960" s="13"/>
      <c r="AK960" s="13"/>
      <c r="AL960" s="13"/>
    </row>
    <row r="961" spans="31:38">
      <c r="AE961" s="13"/>
      <c r="AF961" s="13"/>
      <c r="AG961" s="13"/>
      <c r="AH961" s="13"/>
      <c r="AI961" s="13"/>
      <c r="AJ961" s="13"/>
      <c r="AK961" s="13"/>
      <c r="AL961" s="13"/>
    </row>
    <row r="962" spans="31:38">
      <c r="AE962" s="13"/>
      <c r="AF962" s="13"/>
      <c r="AG962" s="13"/>
      <c r="AH962" s="13"/>
      <c r="AI962" s="13"/>
      <c r="AJ962" s="13"/>
      <c r="AK962" s="13"/>
      <c r="AL962" s="13"/>
    </row>
    <row r="963" spans="31:38">
      <c r="AE963" s="13"/>
      <c r="AF963" s="13"/>
      <c r="AG963" s="13"/>
      <c r="AH963" s="13"/>
      <c r="AI963" s="13"/>
      <c r="AJ963" s="13"/>
      <c r="AK963" s="13"/>
      <c r="AL963" s="13"/>
    </row>
    <row r="964" spans="31:38">
      <c r="AE964" s="13"/>
      <c r="AF964" s="13"/>
      <c r="AG964" s="13"/>
      <c r="AH964" s="13"/>
      <c r="AI964" s="13"/>
      <c r="AJ964" s="13"/>
      <c r="AK964" s="13"/>
      <c r="AL964" s="13"/>
    </row>
    <row r="965" spans="31:38">
      <c r="AE965" s="13"/>
      <c r="AF965" s="13"/>
      <c r="AG965" s="13"/>
      <c r="AH965" s="13"/>
      <c r="AI965" s="13"/>
      <c r="AJ965" s="13"/>
      <c r="AK965" s="13"/>
      <c r="AL965" s="13"/>
    </row>
    <row r="966" spans="31:38">
      <c r="AE966" s="13"/>
      <c r="AF966" s="13"/>
      <c r="AG966" s="13"/>
      <c r="AH966" s="13"/>
      <c r="AI966" s="13"/>
      <c r="AJ966" s="13"/>
      <c r="AK966" s="13"/>
      <c r="AL966" s="13"/>
    </row>
    <row r="967" spans="31:38">
      <c r="AE967" s="13"/>
      <c r="AF967" s="13"/>
      <c r="AG967" s="13"/>
      <c r="AH967" s="13"/>
      <c r="AI967" s="13"/>
      <c r="AJ967" s="13"/>
      <c r="AK967" s="13"/>
      <c r="AL967" s="13"/>
    </row>
    <row r="968" spans="31:38">
      <c r="AE968" s="13"/>
      <c r="AF968" s="13"/>
      <c r="AG968" s="13"/>
      <c r="AH968" s="13"/>
      <c r="AI968" s="13"/>
      <c r="AJ968" s="13"/>
      <c r="AK968" s="13"/>
      <c r="AL968" s="13"/>
    </row>
    <row r="969" spans="31:38">
      <c r="AE969" s="13"/>
      <c r="AF969" s="13"/>
      <c r="AG969" s="13"/>
      <c r="AH969" s="13"/>
      <c r="AI969" s="13"/>
      <c r="AJ969" s="13"/>
      <c r="AK969" s="13"/>
      <c r="AL969" s="13"/>
    </row>
    <row r="970" spans="31:38">
      <c r="AE970" s="13"/>
      <c r="AF970" s="13"/>
      <c r="AG970" s="13"/>
      <c r="AH970" s="13"/>
      <c r="AI970" s="13"/>
      <c r="AJ970" s="13"/>
      <c r="AK970" s="13"/>
      <c r="AL970" s="13"/>
    </row>
    <row r="971" spans="31:38">
      <c r="AE971" s="13"/>
      <c r="AF971" s="13"/>
      <c r="AG971" s="13"/>
      <c r="AH971" s="13"/>
      <c r="AI971" s="13"/>
      <c r="AJ971" s="13"/>
      <c r="AK971" s="13"/>
      <c r="AL971" s="13"/>
    </row>
    <row r="972" spans="31:38">
      <c r="AE972" s="13"/>
      <c r="AF972" s="13"/>
      <c r="AG972" s="13"/>
      <c r="AH972" s="13"/>
      <c r="AI972" s="13"/>
      <c r="AJ972" s="13"/>
      <c r="AK972" s="13"/>
      <c r="AL972" s="13"/>
    </row>
    <row r="973" spans="31:38">
      <c r="AE973" s="13"/>
      <c r="AF973" s="13"/>
      <c r="AG973" s="13"/>
      <c r="AH973" s="13"/>
      <c r="AI973" s="13"/>
      <c r="AJ973" s="13"/>
      <c r="AK973" s="13"/>
      <c r="AL973" s="13"/>
    </row>
    <row r="974" spans="31:38">
      <c r="AE974" s="13"/>
      <c r="AF974" s="13"/>
      <c r="AG974" s="13"/>
      <c r="AH974" s="13"/>
      <c r="AI974" s="13"/>
      <c r="AJ974" s="13"/>
      <c r="AK974" s="13"/>
      <c r="AL974" s="13"/>
    </row>
    <row r="975" spans="31:38">
      <c r="AE975" s="13"/>
      <c r="AF975" s="13"/>
      <c r="AG975" s="13"/>
      <c r="AH975" s="13"/>
      <c r="AI975" s="13"/>
      <c r="AJ975" s="13"/>
      <c r="AK975" s="13"/>
      <c r="AL975" s="13"/>
    </row>
    <row r="976" spans="31:38">
      <c r="AE976" s="13"/>
      <c r="AF976" s="13"/>
      <c r="AG976" s="13"/>
      <c r="AH976" s="13"/>
      <c r="AI976" s="13"/>
      <c r="AJ976" s="13"/>
      <c r="AK976" s="13"/>
      <c r="AL976" s="13"/>
    </row>
    <row r="977" spans="31:38">
      <c r="AE977" s="13"/>
      <c r="AF977" s="13"/>
      <c r="AG977" s="13"/>
      <c r="AH977" s="13"/>
      <c r="AI977" s="13"/>
      <c r="AJ977" s="13"/>
      <c r="AK977" s="13"/>
      <c r="AL977" s="13"/>
    </row>
    <row r="978" spans="31:38">
      <c r="AE978" s="13"/>
      <c r="AF978" s="13"/>
      <c r="AG978" s="13"/>
      <c r="AH978" s="13"/>
      <c r="AI978" s="13"/>
      <c r="AJ978" s="13"/>
      <c r="AK978" s="13"/>
      <c r="AL978" s="13"/>
    </row>
    <row r="979" spans="31:38">
      <c r="AE979" s="13"/>
      <c r="AF979" s="13"/>
      <c r="AG979" s="13"/>
      <c r="AH979" s="13"/>
      <c r="AI979" s="13"/>
      <c r="AJ979" s="13"/>
      <c r="AK979" s="13"/>
      <c r="AL979" s="13"/>
    </row>
    <row r="980" spans="31:38">
      <c r="AE980" s="13"/>
      <c r="AF980" s="13"/>
      <c r="AG980" s="13"/>
      <c r="AH980" s="13"/>
      <c r="AI980" s="13"/>
      <c r="AJ980" s="13"/>
      <c r="AK980" s="13"/>
      <c r="AL980" s="13"/>
    </row>
    <row r="981" spans="31:38">
      <c r="AE981" s="13"/>
      <c r="AF981" s="13"/>
      <c r="AG981" s="13"/>
      <c r="AH981" s="13"/>
      <c r="AI981" s="13"/>
      <c r="AJ981" s="13"/>
      <c r="AK981" s="13"/>
      <c r="AL981" s="13"/>
    </row>
    <row r="982" spans="31:38">
      <c r="AE982" s="13"/>
      <c r="AF982" s="13"/>
      <c r="AG982" s="13"/>
      <c r="AH982" s="13"/>
      <c r="AI982" s="13"/>
      <c r="AJ982" s="13"/>
      <c r="AK982" s="13"/>
      <c r="AL982" s="13"/>
    </row>
    <row r="983" spans="31:38">
      <c r="AE983" s="13"/>
      <c r="AF983" s="13"/>
      <c r="AG983" s="13"/>
      <c r="AH983" s="13"/>
      <c r="AI983" s="13"/>
      <c r="AJ983" s="13"/>
      <c r="AK983" s="13"/>
      <c r="AL983" s="13"/>
    </row>
    <row r="984" spans="31:38">
      <c r="AE984" s="13"/>
      <c r="AF984" s="13"/>
      <c r="AG984" s="13"/>
      <c r="AH984" s="13"/>
      <c r="AI984" s="13"/>
      <c r="AJ984" s="13"/>
      <c r="AK984" s="13"/>
      <c r="AL984" s="13"/>
    </row>
    <row r="985" spans="31:38">
      <c r="AE985" s="13"/>
      <c r="AF985" s="13"/>
      <c r="AG985" s="13"/>
      <c r="AH985" s="13"/>
      <c r="AI985" s="13"/>
      <c r="AJ985" s="13"/>
      <c r="AK985" s="13"/>
      <c r="AL985" s="13"/>
    </row>
    <row r="986" spans="31:38">
      <c r="AE986" s="13"/>
      <c r="AF986" s="13"/>
      <c r="AG986" s="13"/>
      <c r="AH986" s="13"/>
      <c r="AI986" s="13"/>
      <c r="AJ986" s="13"/>
      <c r="AK986" s="13"/>
      <c r="AL986" s="13"/>
    </row>
    <row r="987" spans="31:38">
      <c r="AE987" s="13"/>
      <c r="AF987" s="13"/>
      <c r="AG987" s="13"/>
      <c r="AH987" s="13"/>
      <c r="AI987" s="13"/>
      <c r="AJ987" s="13"/>
      <c r="AK987" s="13"/>
      <c r="AL987" s="13"/>
    </row>
    <row r="988" spans="31:38">
      <c r="AE988" s="13"/>
      <c r="AF988" s="13"/>
      <c r="AG988" s="13"/>
      <c r="AH988" s="13"/>
      <c r="AI988" s="13"/>
      <c r="AJ988" s="13"/>
      <c r="AK988" s="13"/>
      <c r="AL988" s="13"/>
    </row>
    <row r="989" spans="31:38">
      <c r="AE989" s="13"/>
      <c r="AF989" s="13"/>
      <c r="AG989" s="13"/>
      <c r="AH989" s="13"/>
      <c r="AI989" s="13"/>
      <c r="AJ989" s="13"/>
      <c r="AK989" s="13"/>
      <c r="AL989" s="13"/>
    </row>
    <row r="990" spans="31:38">
      <c r="AE990" s="13"/>
      <c r="AF990" s="13"/>
      <c r="AG990" s="13"/>
      <c r="AH990" s="13"/>
      <c r="AI990" s="13"/>
      <c r="AJ990" s="13"/>
      <c r="AK990" s="13"/>
      <c r="AL990" s="13"/>
    </row>
    <row r="991" spans="31:38">
      <c r="AE991" s="13"/>
      <c r="AF991" s="13"/>
      <c r="AG991" s="13"/>
      <c r="AH991" s="13"/>
      <c r="AI991" s="13"/>
      <c r="AJ991" s="13"/>
      <c r="AK991" s="13"/>
      <c r="AL991" s="13"/>
    </row>
    <row r="992" spans="31:38">
      <c r="AE992" s="13"/>
      <c r="AF992" s="13"/>
      <c r="AG992" s="13"/>
      <c r="AH992" s="13"/>
      <c r="AI992" s="13"/>
      <c r="AJ992" s="13"/>
      <c r="AK992" s="13"/>
      <c r="AL992" s="13"/>
    </row>
    <row r="993" spans="31:38">
      <c r="AE993" s="13"/>
      <c r="AF993" s="13"/>
      <c r="AG993" s="13"/>
      <c r="AH993" s="13"/>
      <c r="AI993" s="13"/>
      <c r="AJ993" s="13"/>
      <c r="AK993" s="13"/>
      <c r="AL993" s="13"/>
    </row>
    <row r="994" spans="31:38">
      <c r="AE994" s="13"/>
      <c r="AF994" s="13"/>
      <c r="AG994" s="13"/>
      <c r="AH994" s="13"/>
      <c r="AI994" s="13"/>
      <c r="AJ994" s="13"/>
      <c r="AK994" s="13"/>
      <c r="AL994" s="13"/>
    </row>
    <row r="995" spans="31:38">
      <c r="AE995" s="13"/>
      <c r="AF995" s="13"/>
      <c r="AG995" s="13"/>
      <c r="AH995" s="13"/>
      <c r="AI995" s="13"/>
      <c r="AJ995" s="13"/>
      <c r="AK995" s="13"/>
      <c r="AL995" s="13"/>
    </row>
    <row r="996" spans="31:38">
      <c r="AE996" s="13"/>
      <c r="AF996" s="13"/>
      <c r="AG996" s="13"/>
      <c r="AH996" s="13"/>
      <c r="AI996" s="13"/>
      <c r="AJ996" s="13"/>
      <c r="AK996" s="13"/>
      <c r="AL996" s="13"/>
    </row>
    <row r="997" spans="31:38">
      <c r="AE997" s="13"/>
      <c r="AF997" s="13"/>
      <c r="AG997" s="13"/>
      <c r="AH997" s="13"/>
      <c r="AI997" s="13"/>
      <c r="AJ997" s="13"/>
      <c r="AK997" s="13"/>
      <c r="AL997" s="13"/>
    </row>
    <row r="998" spans="31:38">
      <c r="AE998" s="13"/>
      <c r="AF998" s="13"/>
      <c r="AG998" s="13"/>
      <c r="AH998" s="13"/>
      <c r="AI998" s="13"/>
      <c r="AJ998" s="13"/>
      <c r="AK998" s="13"/>
      <c r="AL998" s="13"/>
    </row>
    <row r="999" spans="31:38">
      <c r="AE999" s="13"/>
      <c r="AF999" s="13"/>
      <c r="AG999" s="13"/>
      <c r="AH999" s="13"/>
      <c r="AI999" s="13"/>
      <c r="AJ999" s="13"/>
      <c r="AK999" s="13"/>
      <c r="AL999" s="13"/>
    </row>
    <row r="1000" spans="31:38">
      <c r="AE1000" s="13"/>
      <c r="AF1000" s="13"/>
      <c r="AG1000" s="13"/>
      <c r="AH1000" s="13"/>
      <c r="AI1000" s="13"/>
      <c r="AJ1000" s="13"/>
      <c r="AK1000" s="13"/>
      <c r="AL1000" s="13"/>
    </row>
  </sheetData>
  <mergeCells count="2">
    <mergeCell ref="N7:T7"/>
    <mergeCell ref="C7:M7"/>
  </mergeCells>
  <conditionalFormatting sqref="J9:J38">
    <cfRule type="dataBar" priority="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{7A73F115-38D3-49B2-ADF7-F1E555703069}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{B5554680-09AB-41F9-9D35-43367D7F9BFF}</x14:id>
        </ext>
      </extLst>
    </cfRule>
    <cfRule type="cellIs" dxfId="0" priority="8" operator="greaterThan">
      <formula>$B$3</formula>
    </cfRule>
  </conditionalFormatting>
  <conditionalFormatting sqref="K9:K38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{4E488966-2EDC-4ECC-B3C6-D33D85F8980B}</x14:id>
        </ext>
      </extLst>
    </cfRule>
  </conditionalFormatting>
  <conditionalFormatting sqref="R9:R38">
    <cfRule type="dataBar" priority="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{033C2122-48AB-40DE-B208-E22DD3CF15B5}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colaMphi">
                <anchor moveWithCells="1" sizeWithCells="1">
                  <from>
                    <xdr:col>9</xdr:col>
                    <xdr:colOff>295275</xdr:colOff>
                    <xdr:row>0</xdr:row>
                    <xdr:rowOff>76200</xdr:rowOff>
                  </from>
                  <to>
                    <xdr:col>11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phiMultipleN">
                <anchor moveWithCells="1" sizeWithCells="1">
                  <from>
                    <xdr:col>12</xdr:col>
                    <xdr:colOff>9525</xdr:colOff>
                    <xdr:row>0</xdr:row>
                    <xdr:rowOff>104775</xdr:rowOff>
                  </from>
                  <to>
                    <xdr:col>14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73F115-38D3-49B2-ADF7-F1E555703069}">
            <x14:dataBar minLength="0" maxLength="100" gradient="0">
              <x14:cfvo type="autoMin"/>
              <x14:cfvo type="autoMax"/>
              <x14:negativeFillColor theme="4"/>
              <x14:axisColor rgb="FF000000"/>
            </x14:dataBar>
          </x14:cfRule>
          <x14:cfRule type="dataBar" id="{B5554680-09AB-41F9-9D35-43367D7F9B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J9:J38</xm:sqref>
        </x14:conditionalFormatting>
        <x14:conditionalFormatting xmlns:xm="http://schemas.microsoft.com/office/excel/2006/main">
          <x14:cfRule type="dataBar" id="{4E488966-2EDC-4ECC-B3C6-D33D85F898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K9:K38</xm:sqref>
        </x14:conditionalFormatting>
        <x14:conditionalFormatting xmlns:xm="http://schemas.microsoft.com/office/excel/2006/main">
          <x14:cfRule type="dataBar" id="{033C2122-48AB-40DE-B208-E22DD3CF15B5}">
            <x14:dataBar minLength="0" maxLength="100" gradient="0">
              <x14:cfvo type="autoMin"/>
              <x14:cfvo type="autoMax"/>
              <x14:negativeFillColor theme="4"/>
              <x14:axisColor rgb="FF000000"/>
            </x14:dataBar>
          </x14:cfRule>
          <xm:sqref>R9:R38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/>
  <dimension ref="B1:Q125"/>
  <sheetViews>
    <sheetView zoomScaleNormal="100" workbookViewId="0">
      <selection activeCell="B1" sqref="B1"/>
    </sheetView>
  </sheetViews>
  <sheetFormatPr defaultColWidth="9.140625" defaultRowHeight="15"/>
  <cols>
    <col min="1" max="1" width="9.140625" style="1"/>
    <col min="2" max="2" width="6.28515625" style="3" bestFit="1" customWidth="1"/>
    <col min="3" max="3" width="9.140625" style="3"/>
    <col min="4" max="6" width="9.140625" style="1"/>
    <col min="7" max="7" width="12.7109375" style="1" bestFit="1" customWidth="1"/>
    <col min="8" max="16384" width="9.140625" style="1"/>
  </cols>
  <sheetData>
    <row r="1" spans="2:17">
      <c r="B1" s="1"/>
      <c r="C1" s="1"/>
    </row>
    <row r="2" spans="2:17">
      <c r="B2" s="1"/>
      <c r="C2" s="1"/>
    </row>
    <row r="3" spans="2:17">
      <c r="B3" s="1"/>
      <c r="C3" s="1"/>
    </row>
    <row r="4" spans="2:17">
      <c r="B4" s="85" t="s">
        <v>153</v>
      </c>
      <c r="C4" s="85"/>
      <c r="D4" s="86" t="s">
        <v>186</v>
      </c>
      <c r="E4" s="86"/>
      <c r="F4" s="86"/>
      <c r="G4" s="86"/>
    </row>
    <row r="5" spans="2:17" ht="18">
      <c r="B5" s="76" t="s">
        <v>93</v>
      </c>
      <c r="C5" s="76" t="s">
        <v>94</v>
      </c>
      <c r="D5" s="76" t="s">
        <v>96</v>
      </c>
      <c r="E5" s="76" t="s">
        <v>98</v>
      </c>
      <c r="F5" s="77" t="s">
        <v>100</v>
      </c>
      <c r="G5" s="76" t="s">
        <v>97</v>
      </c>
      <c r="I5" s="2" t="s">
        <v>95</v>
      </c>
      <c r="J5" s="5">
        <f>SUM(G6:G1048576)</f>
        <v>14.802300600691234</v>
      </c>
      <c r="L5" s="87" t="s">
        <v>190</v>
      </c>
      <c r="M5" s="87"/>
      <c r="N5" s="87" t="s">
        <v>193</v>
      </c>
      <c r="O5" s="87"/>
      <c r="P5" s="87" t="s">
        <v>194</v>
      </c>
      <c r="Q5" s="87"/>
    </row>
    <row r="6" spans="2:17" ht="18">
      <c r="B6" s="47">
        <v>0</v>
      </c>
      <c r="C6" s="48">
        <v>-7.460698725481052E-14</v>
      </c>
      <c r="D6" s="1">
        <f>1/2*B7</f>
        <v>5.0000000000000001E-4</v>
      </c>
      <c r="E6" s="1">
        <f>1/2*C7</f>
        <v>15.344405002706599</v>
      </c>
      <c r="F6" s="7">
        <f>E6/D6</f>
        <v>30688.810005413197</v>
      </c>
      <c r="G6" s="1">
        <f>C6*D6</f>
        <v>-3.7303493627405262E-17</v>
      </c>
      <c r="I6" s="49" t="s">
        <v>191</v>
      </c>
      <c r="J6" s="10">
        <f>MAX(B6:B1048576)</f>
        <v>7.6999999999999999E-2</v>
      </c>
      <c r="L6" s="49" t="s">
        <v>187</v>
      </c>
      <c r="M6" s="6">
        <f>2*(J6-J5/J7)</f>
        <v>9.8769842157892807E-3</v>
      </c>
      <c r="N6" s="49" t="s">
        <v>187</v>
      </c>
      <c r="O6" s="6">
        <f>(2*J7*J6-J8*J6^2-2*J5)/(J7-J8*J6)</f>
        <v>9.2899290840722237E-3</v>
      </c>
      <c r="P6" s="2" t="s">
        <v>99</v>
      </c>
      <c r="Q6" s="7">
        <f>F7</f>
        <v>30488.333082697493</v>
      </c>
    </row>
    <row r="7" spans="2:17" ht="18">
      <c r="B7" s="47">
        <v>1E-3</v>
      </c>
      <c r="C7" s="48">
        <v>30.688810005413199</v>
      </c>
      <c r="D7" s="1">
        <f>IF(B8=0,(B7-B6)/2,(B8-B6)/2)</f>
        <v>1E-3</v>
      </c>
      <c r="E7" s="1">
        <f>IF(C8=0,(C7-C6)/2,(C8-C6)/2)</f>
        <v>30.488333082697494</v>
      </c>
      <c r="F7" s="7">
        <f t="shared" ref="F7" si="0">E7/D7</f>
        <v>30488.333082697493</v>
      </c>
      <c r="G7" s="1">
        <f t="shared" ref="G7" si="1">C7*D7</f>
        <v>3.0688810005413198E-2</v>
      </c>
      <c r="I7" s="2" t="s">
        <v>192</v>
      </c>
      <c r="J7" s="7">
        <f>MAX(C6:C1048576)</f>
        <v>205.41202971847454</v>
      </c>
      <c r="L7" s="2" t="s">
        <v>188</v>
      </c>
      <c r="M7" s="7">
        <f>J7</f>
        <v>205.41202971847454</v>
      </c>
      <c r="N7" s="2" t="s">
        <v>188</v>
      </c>
      <c r="O7" s="7">
        <f>J7-J8*(J6-O6)</f>
        <v>203.84594937869988</v>
      </c>
      <c r="P7" s="49" t="s">
        <v>187</v>
      </c>
      <c r="Q7" s="6">
        <f>(2*J5-J7*J6)/(Q6*J6-J7)</f>
        <v>6.4363466237831379E-3</v>
      </c>
    </row>
    <row r="8" spans="2:17" ht="18">
      <c r="B8" s="47">
        <v>2E-3</v>
      </c>
      <c r="C8" s="48">
        <v>60.976666165394917</v>
      </c>
      <c r="D8" s="1">
        <f t="shared" ref="D8:D71" si="2">IF(B9=0,(B8-B7)/2,(B9-B7)/2)</f>
        <v>1E-3</v>
      </c>
      <c r="E8" s="1">
        <f t="shared" ref="E8:E71" si="3">IF(C9=0,(C8-C7)/2,(C9-C7)/2)</f>
        <v>29.881999961604052</v>
      </c>
      <c r="F8" s="7">
        <f t="shared" ref="F8:F71" si="4">E8/D8</f>
        <v>29881.999961604051</v>
      </c>
      <c r="G8" s="1">
        <f t="shared" ref="G8:G71" si="5">C8*D8</f>
        <v>6.0976666165394919E-2</v>
      </c>
      <c r="I8" s="2" t="s">
        <v>101</v>
      </c>
      <c r="J8" s="7">
        <f>MIN(F6:F1048576)</f>
        <v>23.129208382002336</v>
      </c>
      <c r="L8" s="2" t="s">
        <v>99</v>
      </c>
      <c r="M8" s="7">
        <f>M7/M6</f>
        <v>20797.039382740357</v>
      </c>
      <c r="N8" s="2" t="s">
        <v>99</v>
      </c>
      <c r="O8" s="7">
        <f>O7/O6</f>
        <v>21942.68088958806</v>
      </c>
      <c r="P8" s="2" t="s">
        <v>188</v>
      </c>
      <c r="Q8" s="7">
        <f>Q6*Q7</f>
        <v>196.23347970159574</v>
      </c>
    </row>
    <row r="9" spans="2:17" ht="16.5">
      <c r="B9" s="47">
        <v>3.0000000000000001E-3</v>
      </c>
      <c r="C9" s="48">
        <v>90.452809928621306</v>
      </c>
      <c r="D9" s="1">
        <f t="shared" si="2"/>
        <v>1E-3</v>
      </c>
      <c r="E9" s="1">
        <f t="shared" si="3"/>
        <v>27.681350424493168</v>
      </c>
      <c r="F9" s="7">
        <f t="shared" si="4"/>
        <v>27681.350424493168</v>
      </c>
      <c r="G9" s="1">
        <f t="shared" si="5"/>
        <v>9.0452809928621314E-2</v>
      </c>
      <c r="L9" s="66" t="s">
        <v>189</v>
      </c>
      <c r="M9" s="5">
        <f>J6/M6</f>
        <v>7.7959018985682205</v>
      </c>
      <c r="N9" s="66" t="s">
        <v>189</v>
      </c>
      <c r="O9" s="5">
        <f>J6/O6</f>
        <v>8.288545510214723</v>
      </c>
      <c r="P9" s="66" t="s">
        <v>189</v>
      </c>
      <c r="Q9" s="5">
        <f>J6/Q7</f>
        <v>11.963308457545619</v>
      </c>
    </row>
    <row r="10" spans="2:17">
      <c r="B10" s="47">
        <v>4.0000000000000001E-3</v>
      </c>
      <c r="C10" s="48">
        <v>116.33936701438125</v>
      </c>
      <c r="D10" s="1">
        <f t="shared" si="2"/>
        <v>1E-3</v>
      </c>
      <c r="E10" s="1">
        <f t="shared" si="3"/>
        <v>22.685885322956914</v>
      </c>
      <c r="F10" s="7">
        <f t="shared" si="4"/>
        <v>22685.885322956914</v>
      </c>
      <c r="G10" s="1">
        <f t="shared" si="5"/>
        <v>0.11633936701438126</v>
      </c>
    </row>
    <row r="11" spans="2:17">
      <c r="B11" s="47">
        <v>5.0000000000000001E-3</v>
      </c>
      <c r="C11" s="48">
        <v>135.82458057453513</v>
      </c>
      <c r="D11" s="1">
        <f t="shared" si="2"/>
        <v>1E-3</v>
      </c>
      <c r="E11" s="1">
        <f t="shared" si="3"/>
        <v>17.164893801189535</v>
      </c>
      <c r="F11" s="7">
        <f t="shared" si="4"/>
        <v>17164.893801189533</v>
      </c>
      <c r="G11" s="1">
        <f t="shared" si="5"/>
        <v>0.13582458057453514</v>
      </c>
    </row>
    <row r="12" spans="2:17">
      <c r="B12" s="47">
        <v>6.0000000000000001E-3</v>
      </c>
      <c r="C12" s="48">
        <v>150.66915461676032</v>
      </c>
      <c r="D12" s="1">
        <f t="shared" si="2"/>
        <v>1E-3</v>
      </c>
      <c r="E12" s="1">
        <f t="shared" si="3"/>
        <v>13.854372589752558</v>
      </c>
      <c r="F12" s="7">
        <f t="shared" si="4"/>
        <v>13854.372589752556</v>
      </c>
      <c r="G12" s="1">
        <f t="shared" si="5"/>
        <v>0.15066915461676034</v>
      </c>
    </row>
    <row r="13" spans="2:17">
      <c r="B13" s="47">
        <v>7.0000000000000001E-3</v>
      </c>
      <c r="C13" s="48">
        <v>163.53332575404025</v>
      </c>
      <c r="D13" s="1">
        <f t="shared" si="2"/>
        <v>1E-3</v>
      </c>
      <c r="E13" s="1">
        <f t="shared" si="3"/>
        <v>9.5002745993067634</v>
      </c>
      <c r="F13" s="7">
        <f t="shared" si="4"/>
        <v>9500.2745993067638</v>
      </c>
      <c r="G13" s="1">
        <f t="shared" si="5"/>
        <v>0.16353332575404025</v>
      </c>
    </row>
    <row r="14" spans="2:17">
      <c r="B14" s="47">
        <v>8.0000000000000002E-3</v>
      </c>
      <c r="C14" s="48">
        <v>169.66970381537385</v>
      </c>
      <c r="D14" s="1">
        <f t="shared" si="2"/>
        <v>1.0000000000000005E-3</v>
      </c>
      <c r="E14" s="1">
        <f t="shared" si="3"/>
        <v>5.7007386048382784</v>
      </c>
      <c r="F14" s="7">
        <f t="shared" si="4"/>
        <v>5700.7386048382759</v>
      </c>
      <c r="G14" s="1">
        <f t="shared" si="5"/>
        <v>0.16966970381537394</v>
      </c>
      <c r="L14" s="1" t="s">
        <v>93</v>
      </c>
      <c r="M14" s="1" t="s">
        <v>94</v>
      </c>
      <c r="N14" s="1" t="s">
        <v>93</v>
      </c>
      <c r="O14" s="1" t="s">
        <v>94</v>
      </c>
      <c r="P14" s="1" t="s">
        <v>93</v>
      </c>
      <c r="Q14" s="1" t="s">
        <v>94</v>
      </c>
    </row>
    <row r="15" spans="2:17">
      <c r="B15" s="47">
        <v>9.0000000000000011E-3</v>
      </c>
      <c r="C15" s="48">
        <v>174.93480296371681</v>
      </c>
      <c r="D15" s="1">
        <f t="shared" si="2"/>
        <v>1E-3</v>
      </c>
      <c r="E15" s="1">
        <f t="shared" si="3"/>
        <v>4.9026309599280324</v>
      </c>
      <c r="F15" s="7">
        <f t="shared" si="4"/>
        <v>4902.6309599280321</v>
      </c>
      <c r="G15" s="1">
        <f t="shared" si="5"/>
        <v>0.1749348029637168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</row>
    <row r="16" spans="2:17">
      <c r="B16" s="47">
        <v>0.01</v>
      </c>
      <c r="C16" s="48">
        <v>179.47496573522992</v>
      </c>
      <c r="D16" s="1">
        <f t="shared" si="2"/>
        <v>9.9999999999999915E-4</v>
      </c>
      <c r="E16" s="1">
        <f t="shared" si="3"/>
        <v>4.3316894947837596</v>
      </c>
      <c r="F16" s="7">
        <f t="shared" si="4"/>
        <v>4331.6894947837636</v>
      </c>
      <c r="G16" s="1">
        <f t="shared" si="5"/>
        <v>0.17947496573522975</v>
      </c>
      <c r="L16" s="1">
        <f>M6</f>
        <v>9.8769842157892807E-3</v>
      </c>
      <c r="M16" s="7">
        <f>M7</f>
        <v>205.41202971847454</v>
      </c>
      <c r="N16" s="1">
        <f>O6</f>
        <v>9.2899290840722237E-3</v>
      </c>
      <c r="O16" s="7">
        <f>O7</f>
        <v>203.84594937869988</v>
      </c>
      <c r="P16" s="6">
        <f>Q7</f>
        <v>6.4363466237831379E-3</v>
      </c>
      <c r="Q16" s="7">
        <f>Q8</f>
        <v>196.23347970159574</v>
      </c>
    </row>
    <row r="17" spans="2:17">
      <c r="B17" s="47">
        <v>1.0999999999999999E-2</v>
      </c>
      <c r="C17" s="48">
        <v>183.59818195328432</v>
      </c>
      <c r="D17" s="1">
        <f t="shared" si="2"/>
        <v>1E-3</v>
      </c>
      <c r="E17" s="1">
        <f t="shared" si="3"/>
        <v>3.8928015246351748</v>
      </c>
      <c r="F17" s="7">
        <f t="shared" si="4"/>
        <v>3892.8015246351747</v>
      </c>
      <c r="G17" s="1">
        <f t="shared" si="5"/>
        <v>0.18359818195328434</v>
      </c>
      <c r="L17" s="10">
        <f>J6</f>
        <v>7.6999999999999999E-2</v>
      </c>
      <c r="M17" s="23">
        <f>J7</f>
        <v>205.41202971847454</v>
      </c>
      <c r="N17" s="10">
        <f>J6</f>
        <v>7.6999999999999999E-2</v>
      </c>
      <c r="O17" s="7">
        <f>J7</f>
        <v>205.41202971847454</v>
      </c>
      <c r="P17" s="10">
        <f>J6</f>
        <v>7.6999999999999999E-2</v>
      </c>
      <c r="Q17" s="7">
        <f>J7</f>
        <v>205.41202971847454</v>
      </c>
    </row>
    <row r="18" spans="2:17">
      <c r="B18" s="47">
        <v>1.2E-2</v>
      </c>
      <c r="C18" s="48">
        <v>187.26056878450026</v>
      </c>
      <c r="D18" s="1">
        <f t="shared" si="2"/>
        <v>1.0000000000000009E-3</v>
      </c>
      <c r="E18" s="1">
        <f t="shared" si="3"/>
        <v>3.5171762319521065</v>
      </c>
      <c r="F18" s="7">
        <f t="shared" si="4"/>
        <v>3517.1762319521035</v>
      </c>
      <c r="G18" s="1">
        <f t="shared" si="5"/>
        <v>0.18726056878450043</v>
      </c>
    </row>
    <row r="19" spans="2:17">
      <c r="B19" s="47">
        <v>1.3000000000000001E-2</v>
      </c>
      <c r="C19" s="48">
        <v>190.63253441718854</v>
      </c>
      <c r="D19" s="1">
        <f t="shared" si="2"/>
        <v>1E-3</v>
      </c>
      <c r="E19" s="1">
        <f t="shared" si="3"/>
        <v>3.2831294937253404</v>
      </c>
      <c r="F19" s="7">
        <f t="shared" si="4"/>
        <v>3283.1294937253401</v>
      </c>
      <c r="G19" s="1">
        <f t="shared" si="5"/>
        <v>0.19063253441718855</v>
      </c>
    </row>
    <row r="20" spans="2:17">
      <c r="B20" s="47">
        <v>1.4E-2</v>
      </c>
      <c r="C20" s="48">
        <v>193.82682777195095</v>
      </c>
      <c r="D20" s="1">
        <f t="shared" si="2"/>
        <v>9.9999999999999915E-4</v>
      </c>
      <c r="E20" s="1">
        <f t="shared" si="3"/>
        <v>3.0972427575109123</v>
      </c>
      <c r="F20" s="7">
        <f t="shared" si="4"/>
        <v>3097.242757510915</v>
      </c>
      <c r="G20" s="1">
        <f t="shared" si="5"/>
        <v>0.19382682777195079</v>
      </c>
    </row>
    <row r="21" spans="2:17">
      <c r="B21" s="47">
        <v>1.4999999999999999E-2</v>
      </c>
      <c r="C21" s="48">
        <v>196.82701993221036</v>
      </c>
      <c r="D21" s="1">
        <f t="shared" si="2"/>
        <v>1E-3</v>
      </c>
      <c r="E21" s="1">
        <f t="shared" si="3"/>
        <v>2.8935476315146644</v>
      </c>
      <c r="F21" s="7">
        <f t="shared" si="4"/>
        <v>2893.5476315146643</v>
      </c>
      <c r="G21" s="1">
        <f t="shared" si="5"/>
        <v>0.19682701993221036</v>
      </c>
    </row>
    <row r="22" spans="2:17">
      <c r="B22" s="47">
        <v>1.6E-2</v>
      </c>
      <c r="C22" s="48">
        <v>199.61392303498027</v>
      </c>
      <c r="D22" s="1">
        <f t="shared" si="2"/>
        <v>1.0000000000000009E-3</v>
      </c>
      <c r="E22" s="1">
        <f t="shared" si="3"/>
        <v>2.6930582406613297</v>
      </c>
      <c r="F22" s="7">
        <f t="shared" si="4"/>
        <v>2693.0582406613271</v>
      </c>
      <c r="G22" s="1">
        <f t="shared" si="5"/>
        <v>0.19961392303498046</v>
      </c>
    </row>
    <row r="23" spans="2:17">
      <c r="B23" s="47">
        <v>1.7000000000000001E-2</v>
      </c>
      <c r="C23" s="48">
        <v>202.21313641353302</v>
      </c>
      <c r="D23" s="1">
        <f t="shared" si="2"/>
        <v>1.0000000000000009E-3</v>
      </c>
      <c r="E23" s="1">
        <f t="shared" si="3"/>
        <v>1.7985770847860323</v>
      </c>
      <c r="F23" s="7">
        <f t="shared" si="4"/>
        <v>1798.5770847860306</v>
      </c>
      <c r="G23" s="1">
        <f t="shared" si="5"/>
        <v>0.2022131364135332</v>
      </c>
    </row>
    <row r="24" spans="2:17">
      <c r="B24" s="47">
        <v>1.8000000000000002E-2</v>
      </c>
      <c r="C24" s="48">
        <v>203.21107720455234</v>
      </c>
      <c r="D24" s="1">
        <f t="shared" si="2"/>
        <v>9.9999999999999915E-4</v>
      </c>
      <c r="E24" s="1">
        <f t="shared" si="3"/>
        <v>0.65277957379369411</v>
      </c>
      <c r="F24" s="7">
        <f t="shared" si="4"/>
        <v>652.77957379369468</v>
      </c>
      <c r="G24" s="1">
        <f t="shared" si="5"/>
        <v>0.20321107720455217</v>
      </c>
    </row>
    <row r="25" spans="2:17">
      <c r="B25" s="47">
        <v>1.9E-2</v>
      </c>
      <c r="C25" s="48">
        <v>203.51869556112041</v>
      </c>
      <c r="D25" s="1">
        <f t="shared" si="2"/>
        <v>9.9999999999999915E-4</v>
      </c>
      <c r="E25" s="1">
        <f t="shared" si="3"/>
        <v>0.19214465929222513</v>
      </c>
      <c r="F25" s="7">
        <f t="shared" si="4"/>
        <v>192.1446592922253</v>
      </c>
      <c r="G25" s="1">
        <f t="shared" si="5"/>
        <v>0.20351869556112023</v>
      </c>
    </row>
    <row r="26" spans="2:17">
      <c r="B26" s="47">
        <v>0.02</v>
      </c>
      <c r="C26" s="48">
        <v>203.59536652313679</v>
      </c>
      <c r="D26" s="1">
        <f t="shared" si="2"/>
        <v>1.0000000000000009E-3</v>
      </c>
      <c r="E26" s="1">
        <f t="shared" si="3"/>
        <v>7.5627043476373501E-2</v>
      </c>
      <c r="F26" s="7">
        <f t="shared" si="4"/>
        <v>75.62704347637343</v>
      </c>
      <c r="G26" s="1">
        <f t="shared" si="5"/>
        <v>0.20359536652313698</v>
      </c>
    </row>
    <row r="27" spans="2:17">
      <c r="B27" s="47">
        <v>2.1000000000000001E-2</v>
      </c>
      <c r="C27" s="48">
        <v>203.66994964807316</v>
      </c>
      <c r="D27" s="1">
        <f t="shared" si="2"/>
        <v>9.9999999999999915E-4</v>
      </c>
      <c r="E27" s="1">
        <f t="shared" si="3"/>
        <v>7.3476131522980381E-2</v>
      </c>
      <c r="F27" s="7">
        <f t="shared" si="4"/>
        <v>73.476131522980438</v>
      </c>
      <c r="G27" s="1">
        <f t="shared" si="5"/>
        <v>0.20366994964807297</v>
      </c>
    </row>
    <row r="28" spans="2:17">
      <c r="B28" s="47">
        <v>2.1999999999999999E-2</v>
      </c>
      <c r="C28" s="48">
        <v>203.74231878618275</v>
      </c>
      <c r="D28" s="1">
        <f t="shared" si="2"/>
        <v>9.9999999999999915E-4</v>
      </c>
      <c r="E28" s="1">
        <f t="shared" si="3"/>
        <v>7.1197428254805573E-2</v>
      </c>
      <c r="F28" s="7">
        <f t="shared" si="4"/>
        <v>71.197428254805629</v>
      </c>
      <c r="G28" s="1">
        <f t="shared" si="5"/>
        <v>0.20374231878618257</v>
      </c>
    </row>
    <row r="29" spans="2:17">
      <c r="B29" s="47">
        <v>2.3E-2</v>
      </c>
      <c r="C29" s="48">
        <v>203.81234450458277</v>
      </c>
      <c r="D29" s="1">
        <f t="shared" si="2"/>
        <v>1.0000000000000009E-3</v>
      </c>
      <c r="E29" s="1">
        <f t="shared" si="3"/>
        <v>6.8787268147360692E-2</v>
      </c>
      <c r="F29" s="7">
        <f t="shared" si="4"/>
        <v>68.787268147360635</v>
      </c>
      <c r="G29" s="1">
        <f t="shared" si="5"/>
        <v>0.20381234450458294</v>
      </c>
    </row>
    <row r="30" spans="2:17">
      <c r="B30" s="47">
        <v>2.4E-2</v>
      </c>
      <c r="C30" s="48">
        <v>203.87989332247747</v>
      </c>
      <c r="D30" s="1">
        <f t="shared" si="2"/>
        <v>1.0000000000000009E-3</v>
      </c>
      <c r="E30" s="1">
        <f t="shared" si="3"/>
        <v>6.6241415228446954E-2</v>
      </c>
      <c r="F30" s="7">
        <f t="shared" si="4"/>
        <v>66.241415228446897</v>
      </c>
      <c r="G30" s="1">
        <f t="shared" si="5"/>
        <v>0.20387989332247766</v>
      </c>
    </row>
    <row r="31" spans="2:17">
      <c r="B31" s="47">
        <v>2.5000000000000001E-2</v>
      </c>
      <c r="C31" s="48">
        <v>203.94482733503966</v>
      </c>
      <c r="D31" s="1">
        <f t="shared" si="2"/>
        <v>1.0000000000000009E-3</v>
      </c>
      <c r="E31" s="1">
        <f t="shared" si="3"/>
        <v>6.3555238259397129E-2</v>
      </c>
      <c r="F31" s="7">
        <f t="shared" si="4"/>
        <v>63.555238259397072</v>
      </c>
      <c r="G31" s="1">
        <f t="shared" si="5"/>
        <v>0.20394482733503985</v>
      </c>
    </row>
    <row r="32" spans="2:17">
      <c r="B32" s="47">
        <v>2.6000000000000002E-2</v>
      </c>
      <c r="C32" s="48">
        <v>204.00700379899627</v>
      </c>
      <c r="D32" s="1">
        <f t="shared" si="2"/>
        <v>9.9999999999999915E-4</v>
      </c>
      <c r="E32" s="1">
        <f t="shared" si="3"/>
        <v>6.0723669678822034E-2</v>
      </c>
      <c r="F32" s="7">
        <f t="shared" si="4"/>
        <v>60.723669678822084</v>
      </c>
      <c r="G32" s="1">
        <f t="shared" si="5"/>
        <v>0.20400700379899608</v>
      </c>
    </row>
    <row r="33" spans="2:7">
      <c r="B33" s="47">
        <v>2.7E-2</v>
      </c>
      <c r="C33" s="48">
        <v>204.06627467439731</v>
      </c>
      <c r="D33" s="1">
        <f t="shared" si="2"/>
        <v>9.9999999999999915E-4</v>
      </c>
      <c r="E33" s="1">
        <f t="shared" si="3"/>
        <v>5.7741158552644833E-2</v>
      </c>
      <c r="F33" s="7">
        <f t="shared" si="4"/>
        <v>57.741158552644883</v>
      </c>
      <c r="G33" s="1">
        <f t="shared" si="5"/>
        <v>0.20406627467439714</v>
      </c>
    </row>
    <row r="34" spans="2:7">
      <c r="B34" s="47">
        <v>2.8000000000000001E-2</v>
      </c>
      <c r="C34" s="48">
        <v>204.12248611610156</v>
      </c>
      <c r="D34" s="1">
        <f t="shared" si="2"/>
        <v>1.0000000000000009E-3</v>
      </c>
      <c r="E34" s="1">
        <f t="shared" si="3"/>
        <v>5.4601616488085369E-2</v>
      </c>
      <c r="F34" s="7">
        <f t="shared" si="4"/>
        <v>54.60161648808532</v>
      </c>
      <c r="G34" s="1">
        <f t="shared" si="5"/>
        <v>0.20412248611610173</v>
      </c>
    </row>
    <row r="35" spans="2:7">
      <c r="B35" s="47">
        <v>2.9000000000000001E-2</v>
      </c>
      <c r="C35" s="48">
        <v>204.17547790737348</v>
      </c>
      <c r="D35" s="1">
        <f t="shared" si="2"/>
        <v>9.9999999999999915E-4</v>
      </c>
      <c r="E35" s="1">
        <f t="shared" si="3"/>
        <v>5.1298355251205408E-2</v>
      </c>
      <c r="F35" s="7">
        <f t="shared" si="4"/>
        <v>51.29835525120545</v>
      </c>
      <c r="G35" s="1">
        <f t="shared" si="5"/>
        <v>0.20417547790737331</v>
      </c>
    </row>
    <row r="36" spans="2:7">
      <c r="B36" s="47">
        <v>0.03</v>
      </c>
      <c r="C36" s="48">
        <v>204.22508282660397</v>
      </c>
      <c r="D36" s="1">
        <f t="shared" si="2"/>
        <v>9.9999999999999915E-4</v>
      </c>
      <c r="E36" s="1">
        <f t="shared" si="3"/>
        <v>4.7824014554365135E-2</v>
      </c>
      <c r="F36" s="7">
        <f t="shared" si="4"/>
        <v>47.824014554365178</v>
      </c>
      <c r="G36" s="1">
        <f t="shared" si="5"/>
        <v>0.20422508282660379</v>
      </c>
    </row>
    <row r="37" spans="2:7">
      <c r="B37" s="47">
        <v>3.1E-2</v>
      </c>
      <c r="C37" s="48">
        <v>204.27112593648221</v>
      </c>
      <c r="D37" s="1">
        <f t="shared" si="2"/>
        <v>1.0000000000000009E-3</v>
      </c>
      <c r="E37" s="1">
        <f t="shared" si="3"/>
        <v>4.4170478136976499E-2</v>
      </c>
      <c r="F37" s="7">
        <f t="shared" si="4"/>
        <v>44.170478136976456</v>
      </c>
      <c r="G37" s="1">
        <f t="shared" si="5"/>
        <v>0.20427112593648239</v>
      </c>
    </row>
    <row r="38" spans="2:7">
      <c r="B38" s="47">
        <v>3.2000000000000001E-2</v>
      </c>
      <c r="C38" s="48">
        <v>204.31342378287792</v>
      </c>
      <c r="D38" s="1">
        <f t="shared" si="2"/>
        <v>1.0000000000000009E-3</v>
      </c>
      <c r="E38" s="1">
        <f t="shared" si="3"/>
        <v>4.0324741979063106E-2</v>
      </c>
      <c r="F38" s="7">
        <f t="shared" si="4"/>
        <v>40.32474197906307</v>
      </c>
      <c r="G38" s="1">
        <f t="shared" si="5"/>
        <v>0.20431342378287809</v>
      </c>
    </row>
    <row r="39" spans="2:7">
      <c r="B39" s="47">
        <v>3.3000000000000002E-2</v>
      </c>
      <c r="C39" s="48">
        <v>204.35177542044033</v>
      </c>
      <c r="D39" s="1">
        <f t="shared" si="2"/>
        <v>1.0000000000000009E-3</v>
      </c>
      <c r="E39" s="1">
        <f t="shared" si="3"/>
        <v>3.6288338892973115E-2</v>
      </c>
      <c r="F39" s="7">
        <f t="shared" si="4"/>
        <v>36.28833889297308</v>
      </c>
      <c r="G39" s="1">
        <f t="shared" si="5"/>
        <v>0.2043517754204405</v>
      </c>
    </row>
    <row r="40" spans="2:7">
      <c r="B40" s="47">
        <v>3.4000000000000002E-2</v>
      </c>
      <c r="C40" s="48">
        <v>204.38600046066387</v>
      </c>
      <c r="D40" s="1">
        <f t="shared" si="2"/>
        <v>1.0000000000000009E-3</v>
      </c>
      <c r="E40" s="1">
        <f t="shared" si="3"/>
        <v>3.204761248991872E-2</v>
      </c>
      <c r="F40" s="7">
        <f t="shared" si="4"/>
        <v>32.047612489918691</v>
      </c>
      <c r="G40" s="1">
        <f t="shared" si="5"/>
        <v>0.20438600046066405</v>
      </c>
    </row>
    <row r="41" spans="2:7">
      <c r="B41" s="47">
        <v>3.5000000000000003E-2</v>
      </c>
      <c r="C41" s="48">
        <v>204.41587064542017</v>
      </c>
      <c r="D41" s="1">
        <f t="shared" si="2"/>
        <v>1.0000000000000009E-3</v>
      </c>
      <c r="E41" s="1">
        <f t="shared" si="3"/>
        <v>2.7572036292525581E-2</v>
      </c>
      <c r="F41" s="7">
        <f t="shared" si="4"/>
        <v>27.572036292525556</v>
      </c>
      <c r="G41" s="1">
        <f t="shared" si="5"/>
        <v>0.20441587064542036</v>
      </c>
    </row>
    <row r="42" spans="2:7">
      <c r="B42" s="47">
        <v>3.6000000000000004E-2</v>
      </c>
      <c r="C42" s="48">
        <v>204.44114453324892</v>
      </c>
      <c r="D42" s="1">
        <f t="shared" si="2"/>
        <v>9.9999999999999742E-4</v>
      </c>
      <c r="E42" s="1">
        <f t="shared" si="3"/>
        <v>2.4196523097998579E-2</v>
      </c>
      <c r="F42" s="7">
        <f t="shared" si="4"/>
        <v>24.196523097998643</v>
      </c>
      <c r="G42" s="1">
        <f t="shared" si="5"/>
        <v>0.20444114453324838</v>
      </c>
    </row>
    <row r="43" spans="2:7">
      <c r="B43" s="47">
        <v>3.6999999999999998E-2</v>
      </c>
      <c r="C43" s="48">
        <v>204.46426369161617</v>
      </c>
      <c r="D43" s="1">
        <f t="shared" si="2"/>
        <v>9.9999999999999742E-4</v>
      </c>
      <c r="E43" s="1">
        <f t="shared" si="3"/>
        <v>2.3129208382002275E-2</v>
      </c>
      <c r="F43" s="7">
        <f t="shared" si="4"/>
        <v>23.129208382002336</v>
      </c>
      <c r="G43" s="1">
        <f t="shared" si="5"/>
        <v>0.20446426369161563</v>
      </c>
    </row>
    <row r="44" spans="2:7">
      <c r="B44" s="47">
        <v>3.7999999999999999E-2</v>
      </c>
      <c r="C44" s="48">
        <v>204.48740295001292</v>
      </c>
      <c r="D44" s="1">
        <f t="shared" si="2"/>
        <v>1.0000000000000009E-3</v>
      </c>
      <c r="E44" s="1">
        <f t="shared" si="3"/>
        <v>2.3154988731022286E-2</v>
      </c>
      <c r="F44" s="7">
        <f t="shared" si="4"/>
        <v>23.154988731022264</v>
      </c>
      <c r="G44" s="1">
        <f t="shared" si="5"/>
        <v>0.20448740295001311</v>
      </c>
    </row>
    <row r="45" spans="2:7">
      <c r="B45" s="47">
        <v>3.9E-2</v>
      </c>
      <c r="C45" s="48">
        <v>204.51057366907821</v>
      </c>
      <c r="D45" s="1">
        <f t="shared" si="2"/>
        <v>1.0000000000000009E-3</v>
      </c>
      <c r="E45" s="1">
        <f t="shared" si="3"/>
        <v>2.3186330399155963E-2</v>
      </c>
      <c r="F45" s="7">
        <f t="shared" si="4"/>
        <v>23.186330399155942</v>
      </c>
      <c r="G45" s="1">
        <f t="shared" si="5"/>
        <v>0.2045105736690784</v>
      </c>
    </row>
    <row r="46" spans="2:7">
      <c r="B46" s="47">
        <v>0.04</v>
      </c>
      <c r="C46" s="48">
        <v>204.53377561081123</v>
      </c>
      <c r="D46" s="1">
        <f t="shared" si="2"/>
        <v>1.0000000000000009E-3</v>
      </c>
      <c r="E46" s="1">
        <f t="shared" si="3"/>
        <v>2.3217415884914772E-2</v>
      </c>
      <c r="F46" s="7">
        <f t="shared" si="4"/>
        <v>23.21741588491475</v>
      </c>
      <c r="G46" s="1">
        <f t="shared" si="5"/>
        <v>0.2045337756108114</v>
      </c>
    </row>
    <row r="47" spans="2:7">
      <c r="B47" s="47">
        <v>4.1000000000000002E-2</v>
      </c>
      <c r="C47" s="48">
        <v>204.55700850084804</v>
      </c>
      <c r="D47" s="1">
        <f t="shared" si="2"/>
        <v>1.0000000000000009E-3</v>
      </c>
      <c r="E47" s="1">
        <f t="shared" si="3"/>
        <v>2.3248228936509463E-2</v>
      </c>
      <c r="F47" s="7">
        <f t="shared" si="4"/>
        <v>23.248228936509442</v>
      </c>
      <c r="G47" s="1">
        <f t="shared" si="5"/>
        <v>0.20455700850084824</v>
      </c>
    </row>
    <row r="48" spans="2:7">
      <c r="B48" s="47">
        <v>4.2000000000000003E-2</v>
      </c>
      <c r="C48" s="48">
        <v>204.58027206868425</v>
      </c>
      <c r="D48" s="1">
        <f t="shared" si="2"/>
        <v>1.0000000000000009E-3</v>
      </c>
      <c r="E48" s="1">
        <f t="shared" si="3"/>
        <v>2.3278773442370948E-2</v>
      </c>
      <c r="F48" s="7">
        <f t="shared" si="4"/>
        <v>23.278773442370927</v>
      </c>
      <c r="G48" s="1">
        <f t="shared" si="5"/>
        <v>0.20458027206868443</v>
      </c>
    </row>
    <row r="49" spans="2:7">
      <c r="B49" s="47">
        <v>4.3000000000000003E-2</v>
      </c>
      <c r="C49" s="48">
        <v>204.60356604773278</v>
      </c>
      <c r="D49" s="1">
        <f t="shared" si="2"/>
        <v>9.9999999999999742E-4</v>
      </c>
      <c r="E49" s="1">
        <f t="shared" si="3"/>
        <v>2.3309053280613057E-2</v>
      </c>
      <c r="F49" s="7">
        <f t="shared" si="4"/>
        <v>23.309053280613117</v>
      </c>
      <c r="G49" s="1">
        <f t="shared" si="5"/>
        <v>0.20460356604773225</v>
      </c>
    </row>
    <row r="50" spans="2:7">
      <c r="B50" s="47">
        <v>4.3999999999999997E-2</v>
      </c>
      <c r="C50" s="48">
        <v>204.62689017524548</v>
      </c>
      <c r="D50" s="1">
        <f t="shared" si="2"/>
        <v>9.9999999999999742E-4</v>
      </c>
      <c r="E50" s="1">
        <f t="shared" si="3"/>
        <v>2.3339072251701509E-2</v>
      </c>
      <c r="F50" s="7">
        <f t="shared" si="4"/>
        <v>23.33907225170157</v>
      </c>
      <c r="G50" s="1">
        <f t="shared" si="5"/>
        <v>0.20462689017524496</v>
      </c>
    </row>
    <row r="51" spans="2:7">
      <c r="B51" s="47">
        <v>4.4999999999999998E-2</v>
      </c>
      <c r="C51" s="48">
        <v>204.65024419223619</v>
      </c>
      <c r="D51" s="1">
        <f t="shared" si="2"/>
        <v>1.0000000000000009E-3</v>
      </c>
      <c r="E51" s="1">
        <f t="shared" si="3"/>
        <v>2.3368834080116585E-2</v>
      </c>
      <c r="F51" s="7">
        <f t="shared" si="4"/>
        <v>23.368834080116564</v>
      </c>
      <c r="G51" s="1">
        <f t="shared" si="5"/>
        <v>0.20465024419223637</v>
      </c>
    </row>
    <row r="52" spans="2:7">
      <c r="B52" s="47">
        <v>4.5999999999999999E-2</v>
      </c>
      <c r="C52" s="48">
        <v>204.67362784340571</v>
      </c>
      <c r="D52" s="1">
        <f t="shared" si="2"/>
        <v>1.0000000000000009E-3</v>
      </c>
      <c r="E52" s="1">
        <f t="shared" si="3"/>
        <v>2.3398342416328433E-2</v>
      </c>
      <c r="F52" s="7">
        <f t="shared" si="4"/>
        <v>23.398342416328411</v>
      </c>
      <c r="G52" s="1">
        <f t="shared" si="5"/>
        <v>0.2046736278434059</v>
      </c>
    </row>
    <row r="53" spans="2:7">
      <c r="B53" s="47">
        <v>4.7E-2</v>
      </c>
      <c r="C53" s="48">
        <v>204.69704087706884</v>
      </c>
      <c r="D53" s="1">
        <f t="shared" si="2"/>
        <v>1.0000000000000009E-3</v>
      </c>
      <c r="E53" s="1">
        <f t="shared" si="3"/>
        <v>2.3427600838630269E-2</v>
      </c>
      <c r="F53" s="7">
        <f t="shared" si="4"/>
        <v>23.427600838630248</v>
      </c>
      <c r="G53" s="1">
        <f t="shared" si="5"/>
        <v>0.20469704087706903</v>
      </c>
    </row>
    <row r="54" spans="2:7">
      <c r="B54" s="47">
        <v>4.8000000000000001E-2</v>
      </c>
      <c r="C54" s="48">
        <v>204.72048304508297</v>
      </c>
      <c r="D54" s="1">
        <f t="shared" si="2"/>
        <v>1.0000000000000009E-3</v>
      </c>
      <c r="E54" s="1">
        <f t="shared" si="3"/>
        <v>2.3456612855000003E-2</v>
      </c>
      <c r="F54" s="7">
        <f t="shared" si="4"/>
        <v>23.456612854999982</v>
      </c>
      <c r="G54" s="1">
        <f t="shared" si="5"/>
        <v>0.20472048304508314</v>
      </c>
    </row>
    <row r="55" spans="2:7">
      <c r="B55" s="47">
        <v>4.9000000000000002E-2</v>
      </c>
      <c r="C55" s="48">
        <v>204.74395410277884</v>
      </c>
      <c r="D55" s="1">
        <f t="shared" si="2"/>
        <v>1.0000000000000009E-3</v>
      </c>
      <c r="E55" s="1">
        <f t="shared" si="3"/>
        <v>2.3485381904862379E-2</v>
      </c>
      <c r="F55" s="7">
        <f t="shared" si="4"/>
        <v>23.485381904862358</v>
      </c>
      <c r="G55" s="1">
        <f t="shared" si="5"/>
        <v>0.20474395410277901</v>
      </c>
    </row>
    <row r="56" spans="2:7">
      <c r="B56" s="47">
        <v>0.05</v>
      </c>
      <c r="C56" s="48">
        <v>204.7674538088927</v>
      </c>
      <c r="D56" s="1">
        <f t="shared" si="2"/>
        <v>1.0000000000000009E-3</v>
      </c>
      <c r="E56" s="1">
        <f t="shared" si="3"/>
        <v>2.3513911360836914E-2</v>
      </c>
      <c r="F56" s="7">
        <f t="shared" si="4"/>
        <v>23.513911360836893</v>
      </c>
      <c r="G56" s="1">
        <f t="shared" si="5"/>
        <v>0.20476745380889289</v>
      </c>
    </row>
    <row r="57" spans="2:7">
      <c r="B57" s="47">
        <v>5.1000000000000004E-2</v>
      </c>
      <c r="C57" s="48">
        <v>204.79098192550052</v>
      </c>
      <c r="D57" s="1">
        <f t="shared" si="2"/>
        <v>1.0000000000000009E-3</v>
      </c>
      <c r="E57" s="1">
        <f t="shared" si="3"/>
        <v>2.3542204530329514E-2</v>
      </c>
      <c r="F57" s="7">
        <f t="shared" si="4"/>
        <v>23.542204530329492</v>
      </c>
      <c r="G57" s="1">
        <f t="shared" si="5"/>
        <v>0.20479098192550069</v>
      </c>
    </row>
    <row r="58" spans="2:7">
      <c r="B58" s="47">
        <v>5.2000000000000005E-2</v>
      </c>
      <c r="C58" s="48">
        <v>204.81453821795336</v>
      </c>
      <c r="D58" s="1">
        <f t="shared" si="2"/>
        <v>9.9999999999999742E-4</v>
      </c>
      <c r="E58" s="1">
        <f t="shared" si="3"/>
        <v>2.3570264657138296E-2</v>
      </c>
      <c r="F58" s="7">
        <f t="shared" si="4"/>
        <v>23.570264657138356</v>
      </c>
      <c r="G58" s="1">
        <f t="shared" si="5"/>
        <v>0.20481453821795284</v>
      </c>
    </row>
    <row r="59" spans="2:7">
      <c r="B59" s="47">
        <v>5.2999999999999999E-2</v>
      </c>
      <c r="C59" s="48">
        <v>204.83812245481479</v>
      </c>
      <c r="D59" s="1">
        <f t="shared" si="2"/>
        <v>9.9999999999999742E-4</v>
      </c>
      <c r="E59" s="1">
        <f t="shared" si="3"/>
        <v>2.3605414417517068E-2</v>
      </c>
      <c r="F59" s="7">
        <f t="shared" si="4"/>
        <v>23.605414417517128</v>
      </c>
      <c r="G59" s="1">
        <f t="shared" si="5"/>
        <v>0.20483812245481425</v>
      </c>
    </row>
    <row r="60" spans="2:7">
      <c r="B60" s="47">
        <v>5.3999999999999999E-2</v>
      </c>
      <c r="C60" s="48">
        <v>204.86174904678839</v>
      </c>
      <c r="D60" s="1">
        <f t="shared" si="2"/>
        <v>1.0000000000000009E-3</v>
      </c>
      <c r="E60" s="1">
        <f t="shared" si="3"/>
        <v>2.3633804654068058E-2</v>
      </c>
      <c r="F60" s="7">
        <f t="shared" si="4"/>
        <v>23.633804654068037</v>
      </c>
      <c r="G60" s="1">
        <f t="shared" si="5"/>
        <v>0.20486174904678858</v>
      </c>
    </row>
    <row r="61" spans="2:7">
      <c r="B61" s="47">
        <v>5.5E-2</v>
      </c>
      <c r="C61" s="48">
        <v>204.88539006412293</v>
      </c>
      <c r="D61" s="1">
        <f t="shared" si="2"/>
        <v>1.0000000000000009E-3</v>
      </c>
      <c r="E61" s="1">
        <f t="shared" si="3"/>
        <v>2.3654657037610605E-2</v>
      </c>
      <c r="F61" s="7">
        <f t="shared" si="4"/>
        <v>23.654657037610583</v>
      </c>
      <c r="G61" s="1">
        <f t="shared" si="5"/>
        <v>0.20488539006412312</v>
      </c>
    </row>
    <row r="62" spans="2:7">
      <c r="B62" s="47">
        <v>5.6000000000000001E-2</v>
      </c>
      <c r="C62" s="48">
        <v>204.90905836086361</v>
      </c>
      <c r="D62" s="1">
        <f t="shared" si="2"/>
        <v>1.0000000000000009E-3</v>
      </c>
      <c r="E62" s="1">
        <f t="shared" si="3"/>
        <v>2.3681826799219152E-2</v>
      </c>
      <c r="F62" s="7">
        <f t="shared" si="4"/>
        <v>23.681826799219131</v>
      </c>
      <c r="G62" s="1">
        <f t="shared" si="5"/>
        <v>0.20490905836086379</v>
      </c>
    </row>
    <row r="63" spans="2:7">
      <c r="B63" s="47">
        <v>5.7000000000000002E-2</v>
      </c>
      <c r="C63" s="48">
        <v>204.93275371772137</v>
      </c>
      <c r="D63" s="1">
        <f t="shared" si="2"/>
        <v>1.0000000000000009E-3</v>
      </c>
      <c r="E63" s="1">
        <f t="shared" si="3"/>
        <v>2.3708778743312564E-2</v>
      </c>
      <c r="F63" s="7">
        <f t="shared" si="4"/>
        <v>23.708778743312543</v>
      </c>
      <c r="G63" s="1">
        <f t="shared" si="5"/>
        <v>0.20493275371772154</v>
      </c>
    </row>
    <row r="64" spans="2:7">
      <c r="B64" s="47">
        <v>5.8000000000000003E-2</v>
      </c>
      <c r="C64" s="48">
        <v>204.95647591835024</v>
      </c>
      <c r="D64" s="1">
        <f t="shared" si="2"/>
        <v>1.0000000000000009E-3</v>
      </c>
      <c r="E64" s="1">
        <f t="shared" si="3"/>
        <v>2.3735515775243243E-2</v>
      </c>
      <c r="F64" s="7">
        <f t="shared" si="4"/>
        <v>23.735515775243222</v>
      </c>
      <c r="G64" s="1">
        <f t="shared" si="5"/>
        <v>0.20495647591835042</v>
      </c>
    </row>
    <row r="65" spans="2:7">
      <c r="B65" s="47">
        <v>5.9000000000000004E-2</v>
      </c>
      <c r="C65" s="48">
        <v>204.98022474927185</v>
      </c>
      <c r="D65" s="1">
        <f t="shared" si="2"/>
        <v>9.9999999999999742E-4</v>
      </c>
      <c r="E65" s="1">
        <f t="shared" si="3"/>
        <v>2.376204073613053E-2</v>
      </c>
      <c r="F65" s="7">
        <f t="shared" si="4"/>
        <v>23.76204073613059</v>
      </c>
      <c r="G65" s="1">
        <f t="shared" si="5"/>
        <v>0.20498022474927133</v>
      </c>
    </row>
    <row r="66" spans="2:7">
      <c r="B66" s="47">
        <v>0.06</v>
      </c>
      <c r="C66" s="48">
        <v>205.0039999998225</v>
      </c>
      <c r="D66" s="1">
        <f t="shared" si="2"/>
        <v>9.9999999999999742E-4</v>
      </c>
      <c r="E66" s="1">
        <f t="shared" si="3"/>
        <v>2.3788356414698342E-2</v>
      </c>
      <c r="F66" s="7">
        <f t="shared" si="4"/>
        <v>23.788356414698402</v>
      </c>
      <c r="G66" s="1">
        <f t="shared" si="5"/>
        <v>0.20500399999982197</v>
      </c>
    </row>
    <row r="67" spans="2:7">
      <c r="B67" s="47">
        <v>6.0999999999999999E-2</v>
      </c>
      <c r="C67" s="48">
        <v>205.02780146210125</v>
      </c>
      <c r="D67" s="1">
        <f t="shared" si="2"/>
        <v>1.0000000000000009E-3</v>
      </c>
      <c r="E67" s="1">
        <f t="shared" si="3"/>
        <v>2.3814465548682051E-2</v>
      </c>
      <c r="F67" s="7">
        <f t="shared" si="4"/>
        <v>23.81446554868203</v>
      </c>
      <c r="G67" s="1">
        <f t="shared" si="5"/>
        <v>0.20502780146210142</v>
      </c>
    </row>
    <row r="68" spans="2:7">
      <c r="B68" s="47">
        <v>6.2E-2</v>
      </c>
      <c r="C68" s="48">
        <v>205.05162893091986</v>
      </c>
      <c r="D68" s="1">
        <f t="shared" si="2"/>
        <v>1.0000000000000009E-3</v>
      </c>
      <c r="E68" s="1">
        <f t="shared" si="3"/>
        <v>2.3840370825922719E-2</v>
      </c>
      <c r="F68" s="7">
        <f t="shared" si="4"/>
        <v>23.840370825922697</v>
      </c>
      <c r="G68" s="1">
        <f t="shared" si="5"/>
        <v>0.20505162893092005</v>
      </c>
    </row>
    <row r="69" spans="2:7">
      <c r="B69" s="47">
        <v>6.3E-2</v>
      </c>
      <c r="C69" s="48">
        <v>205.0754822037531</v>
      </c>
      <c r="D69" s="1">
        <f t="shared" si="2"/>
        <v>1.0000000000000009E-3</v>
      </c>
      <c r="E69" s="1">
        <f t="shared" si="3"/>
        <v>2.3866074885503963E-2</v>
      </c>
      <c r="F69" s="7">
        <f t="shared" si="4"/>
        <v>23.866074885503942</v>
      </c>
      <c r="G69" s="1">
        <f t="shared" si="5"/>
        <v>0.20507548220375327</v>
      </c>
    </row>
    <row r="70" spans="2:7">
      <c r="B70" s="47">
        <v>6.4000000000000001E-2</v>
      </c>
      <c r="C70" s="48">
        <v>205.09936108069087</v>
      </c>
      <c r="D70" s="1">
        <f t="shared" si="2"/>
        <v>1.0000000000000009E-3</v>
      </c>
      <c r="E70" s="1">
        <f t="shared" si="3"/>
        <v>2.3891580318945671E-2</v>
      </c>
      <c r="F70" s="7">
        <f t="shared" si="4"/>
        <v>23.89158031894565</v>
      </c>
      <c r="G70" s="1">
        <f t="shared" si="5"/>
        <v>0.20509936108069104</v>
      </c>
    </row>
    <row r="71" spans="2:7">
      <c r="B71" s="47">
        <v>6.5000000000000002E-2</v>
      </c>
      <c r="C71" s="48">
        <v>205.12326536439099</v>
      </c>
      <c r="D71" s="1">
        <f t="shared" si="2"/>
        <v>1.0000000000000009E-3</v>
      </c>
      <c r="E71" s="1">
        <f t="shared" si="3"/>
        <v>2.3916889671312447E-2</v>
      </c>
      <c r="F71" s="7">
        <f t="shared" si="4"/>
        <v>23.916889671312425</v>
      </c>
      <c r="G71" s="1">
        <f t="shared" si="5"/>
        <v>0.20512326536439118</v>
      </c>
    </row>
    <row r="72" spans="2:7">
      <c r="B72" s="47">
        <v>6.6000000000000003E-2</v>
      </c>
      <c r="C72" s="48">
        <v>205.14719486003349</v>
      </c>
      <c r="D72" s="1">
        <f t="shared" ref="D72:E83" si="6">IF(B73=0,(B72-B71)/2,(B73-B71)/2)</f>
        <v>1.0000000000000009E-3</v>
      </c>
      <c r="E72" s="1">
        <f t="shared" si="6"/>
        <v>2.394200544222258E-2</v>
      </c>
      <c r="F72" s="7">
        <f t="shared" ref="F72:F83" si="7">E72/D72</f>
        <v>23.942005442222559</v>
      </c>
      <c r="G72" s="1">
        <f t="shared" ref="G72:G83" si="8">C72*D72</f>
        <v>0.20514719486003369</v>
      </c>
    </row>
    <row r="73" spans="2:7">
      <c r="B73" s="47">
        <v>6.7000000000000004E-2</v>
      </c>
      <c r="C73" s="48">
        <v>205.17114937527543</v>
      </c>
      <c r="D73" s="1">
        <f t="shared" si="6"/>
        <v>1.0000000000000009E-3</v>
      </c>
      <c r="E73" s="1">
        <f t="shared" si="6"/>
        <v>2.3966930086885441E-2</v>
      </c>
      <c r="F73" s="7">
        <f t="shared" si="7"/>
        <v>23.966930086885419</v>
      </c>
      <c r="G73" s="1">
        <f t="shared" si="8"/>
        <v>0.20517114937527561</v>
      </c>
    </row>
    <row r="74" spans="2:7">
      <c r="B74" s="47">
        <v>6.8000000000000005E-2</v>
      </c>
      <c r="C74" s="48">
        <v>205.19512872020726</v>
      </c>
      <c r="D74" s="1">
        <f t="shared" si="6"/>
        <v>1.0000000000000009E-3</v>
      </c>
      <c r="E74" s="1">
        <f t="shared" si="6"/>
        <v>2.399166601716729E-2</v>
      </c>
      <c r="F74" s="7">
        <f t="shared" si="7"/>
        <v>23.991666017167269</v>
      </c>
      <c r="G74" s="1">
        <f t="shared" si="8"/>
        <v>0.20519512872020745</v>
      </c>
    </row>
    <row r="75" spans="2:7">
      <c r="B75" s="47">
        <v>6.9000000000000006E-2</v>
      </c>
      <c r="C75" s="48">
        <v>205.21913270730977</v>
      </c>
      <c r="D75" s="1">
        <f t="shared" si="6"/>
        <v>1.0000000000000009E-3</v>
      </c>
      <c r="E75" s="1">
        <f t="shared" si="6"/>
        <v>2.4016215602529201E-2</v>
      </c>
      <c r="F75" s="7">
        <f t="shared" si="7"/>
        <v>24.016215602529179</v>
      </c>
      <c r="G75" s="1">
        <f t="shared" si="8"/>
        <v>0.20521913270730996</v>
      </c>
    </row>
    <row r="76" spans="2:7">
      <c r="B76" s="47">
        <v>7.0000000000000007E-2</v>
      </c>
      <c r="C76" s="48">
        <v>205.24316115141232</v>
      </c>
      <c r="D76" s="1">
        <f t="shared" si="6"/>
        <v>1.0000000000000009E-3</v>
      </c>
      <c r="E76" s="1">
        <f t="shared" si="6"/>
        <v>2.404058117096497E-2</v>
      </c>
      <c r="F76" s="7">
        <f t="shared" si="7"/>
        <v>24.040581170964948</v>
      </c>
      <c r="G76" s="1">
        <f t="shared" si="8"/>
        <v>0.2052431611514125</v>
      </c>
    </row>
    <row r="77" spans="2:7">
      <c r="B77" s="47">
        <v>7.1000000000000008E-2</v>
      </c>
      <c r="C77" s="48">
        <v>205.2672138696517</v>
      </c>
      <c r="D77" s="1">
        <f t="shared" si="6"/>
        <v>1.0000000000000009E-3</v>
      </c>
      <c r="E77" s="1">
        <f t="shared" si="6"/>
        <v>2.4064765009995881E-2</v>
      </c>
      <c r="F77" s="7">
        <f t="shared" si="7"/>
        <v>24.06476500999586</v>
      </c>
      <c r="G77" s="1">
        <f t="shared" si="8"/>
        <v>0.20526721386965188</v>
      </c>
    </row>
    <row r="78" spans="2:7">
      <c r="B78" s="47">
        <v>7.2000000000000008E-2</v>
      </c>
      <c r="C78" s="48">
        <v>205.29129068143232</v>
      </c>
      <c r="D78" s="1">
        <f t="shared" si="6"/>
        <v>9.9999999999999395E-4</v>
      </c>
      <c r="E78" s="1">
        <f t="shared" si="6"/>
        <v>2.4088769367537566E-2</v>
      </c>
      <c r="F78" s="7">
        <f t="shared" si="7"/>
        <v>24.088769367537711</v>
      </c>
      <c r="G78" s="1">
        <f t="shared" si="8"/>
        <v>0.20529129068143107</v>
      </c>
    </row>
    <row r="79" spans="2:7">
      <c r="B79" s="47">
        <v>7.2999999999999995E-2</v>
      </c>
      <c r="C79" s="48">
        <v>205.31539140838677</v>
      </c>
      <c r="D79" s="1">
        <f t="shared" si="6"/>
        <v>9.9999999999999395E-4</v>
      </c>
      <c r="E79" s="1">
        <f t="shared" si="6"/>
        <v>2.4112596452681601E-2</v>
      </c>
      <c r="F79" s="7">
        <f t="shared" si="7"/>
        <v>24.112596452681746</v>
      </c>
      <c r="G79" s="1">
        <f t="shared" si="8"/>
        <v>0.20531539140838553</v>
      </c>
    </row>
    <row r="80" spans="2:7">
      <c r="B80" s="47">
        <v>7.3999999999999996E-2</v>
      </c>
      <c r="C80" s="48">
        <v>205.33951587433768</v>
      </c>
      <c r="D80" s="1">
        <f t="shared" si="6"/>
        <v>1.0000000000000009E-3</v>
      </c>
      <c r="E80" s="1">
        <f t="shared" si="6"/>
        <v>2.4136248436732899E-2</v>
      </c>
      <c r="F80" s="7">
        <f t="shared" si="7"/>
        <v>24.136248436732878</v>
      </c>
      <c r="G80" s="1">
        <f t="shared" si="8"/>
        <v>0.20533951587433785</v>
      </c>
    </row>
    <row r="81" spans="2:7">
      <c r="B81" s="47">
        <v>7.4999999999999997E-2</v>
      </c>
      <c r="C81" s="48">
        <v>205.36366390526024</v>
      </c>
      <c r="D81" s="1">
        <f t="shared" si="6"/>
        <v>1.0000000000000009E-3</v>
      </c>
      <c r="E81" s="1">
        <f t="shared" si="6"/>
        <v>2.4159727453877622E-2</v>
      </c>
      <c r="F81" s="7">
        <f t="shared" si="7"/>
        <v>24.159727453877601</v>
      </c>
      <c r="G81" s="1">
        <f t="shared" si="8"/>
        <v>0.20536366390526042</v>
      </c>
    </row>
    <row r="82" spans="2:7">
      <c r="B82" s="47">
        <v>7.5999999999999998E-2</v>
      </c>
      <c r="C82" s="48">
        <v>205.38783532924543</v>
      </c>
      <c r="D82" s="1">
        <f t="shared" si="6"/>
        <v>1.0000000000000009E-3</v>
      </c>
      <c r="E82" s="1">
        <f t="shared" si="6"/>
        <v>2.4182906607151722E-2</v>
      </c>
      <c r="F82" s="7">
        <f t="shared" si="7"/>
        <v>24.1829066071517</v>
      </c>
      <c r="G82" s="1">
        <f t="shared" si="8"/>
        <v>0.20538783532924562</v>
      </c>
    </row>
    <row r="83" spans="2:7">
      <c r="B83" s="47">
        <v>7.6999999999999999E-2</v>
      </c>
      <c r="C83" s="48">
        <v>205.41202971847454</v>
      </c>
      <c r="D83" s="1">
        <f t="shared" si="6"/>
        <v>5.0000000000000044E-4</v>
      </c>
      <c r="E83" s="1">
        <f t="shared" si="6"/>
        <v>1.2097194614554496E-2</v>
      </c>
      <c r="F83" s="7">
        <f t="shared" si="7"/>
        <v>24.194389229108971</v>
      </c>
      <c r="G83" s="1">
        <f t="shared" si="8"/>
        <v>0.10270601485923736</v>
      </c>
    </row>
    <row r="84" spans="2:7">
      <c r="B84" s="47"/>
      <c r="C84" s="48"/>
      <c r="F84" s="7"/>
    </row>
    <row r="85" spans="2:7">
      <c r="B85" s="47"/>
      <c r="C85" s="48"/>
      <c r="F85" s="7"/>
    </row>
    <row r="86" spans="2:7">
      <c r="B86" s="47"/>
      <c r="C86" s="48"/>
      <c r="F86" s="7"/>
    </row>
    <row r="87" spans="2:7">
      <c r="B87" s="47"/>
      <c r="C87" s="48"/>
      <c r="F87" s="7"/>
    </row>
    <row r="88" spans="2:7">
      <c r="B88" s="47"/>
      <c r="C88" s="48"/>
      <c r="F88" s="7"/>
    </row>
    <row r="89" spans="2:7">
      <c r="B89" s="47"/>
      <c r="C89" s="48"/>
      <c r="F89" s="7"/>
    </row>
    <row r="90" spans="2:7">
      <c r="B90" s="47"/>
      <c r="C90" s="48"/>
      <c r="F90" s="7"/>
    </row>
    <row r="91" spans="2:7">
      <c r="B91" s="47"/>
      <c r="C91" s="48"/>
      <c r="F91" s="7"/>
    </row>
    <row r="92" spans="2:7">
      <c r="B92" s="47"/>
      <c r="C92" s="48"/>
      <c r="F92" s="7"/>
    </row>
    <row r="93" spans="2:7">
      <c r="B93" s="47"/>
      <c r="C93" s="48"/>
      <c r="F93" s="7"/>
    </row>
    <row r="94" spans="2:7">
      <c r="B94" s="47"/>
      <c r="C94" s="48"/>
      <c r="F94" s="7"/>
    </row>
    <row r="95" spans="2:7">
      <c r="B95" s="47"/>
      <c r="C95" s="48"/>
      <c r="F95" s="7"/>
    </row>
    <row r="96" spans="2:7">
      <c r="B96" s="47"/>
      <c r="C96" s="48"/>
      <c r="F96" s="7"/>
    </row>
    <row r="97" spans="2:6">
      <c r="B97" s="47"/>
      <c r="C97" s="48"/>
      <c r="F97" s="7"/>
    </row>
    <row r="98" spans="2:6">
      <c r="B98" s="47"/>
      <c r="C98" s="48"/>
      <c r="F98" s="7"/>
    </row>
    <row r="99" spans="2:6">
      <c r="B99" s="47"/>
      <c r="C99" s="48"/>
      <c r="F99" s="7"/>
    </row>
    <row r="100" spans="2:6">
      <c r="B100" s="47"/>
      <c r="C100" s="48"/>
      <c r="F100" s="7"/>
    </row>
    <row r="101" spans="2:6">
      <c r="B101" s="47"/>
      <c r="C101" s="48"/>
      <c r="F101" s="7"/>
    </row>
    <row r="102" spans="2:6">
      <c r="B102" s="47"/>
      <c r="C102" s="48"/>
      <c r="F102" s="7"/>
    </row>
    <row r="103" spans="2:6">
      <c r="B103" s="47"/>
      <c r="C103" s="48"/>
      <c r="F103" s="7"/>
    </row>
    <row r="104" spans="2:6">
      <c r="B104" s="47"/>
      <c r="C104" s="48"/>
      <c r="F104" s="7"/>
    </row>
    <row r="105" spans="2:6">
      <c r="B105" s="47"/>
      <c r="C105" s="48"/>
      <c r="F105" s="7"/>
    </row>
    <row r="106" spans="2:6">
      <c r="B106" s="47"/>
      <c r="C106" s="48"/>
      <c r="F106" s="7"/>
    </row>
    <row r="107" spans="2:6">
      <c r="B107" s="47"/>
      <c r="C107" s="48"/>
      <c r="F107" s="7"/>
    </row>
    <row r="108" spans="2:6">
      <c r="B108" s="47"/>
      <c r="C108" s="48"/>
      <c r="F108" s="7"/>
    </row>
    <row r="109" spans="2:6">
      <c r="B109" s="47"/>
      <c r="C109" s="48"/>
      <c r="F109" s="7"/>
    </row>
    <row r="110" spans="2:6">
      <c r="B110" s="47"/>
      <c r="C110" s="48"/>
      <c r="F110" s="7"/>
    </row>
    <row r="111" spans="2:6">
      <c r="B111" s="47"/>
      <c r="C111" s="48"/>
      <c r="F111" s="7"/>
    </row>
    <row r="112" spans="2:6">
      <c r="B112" s="47"/>
      <c r="C112" s="48"/>
      <c r="F112" s="7"/>
    </row>
    <row r="113" spans="2:6">
      <c r="B113" s="47"/>
      <c r="C113" s="48"/>
      <c r="F113" s="7"/>
    </row>
    <row r="114" spans="2:6">
      <c r="B114" s="47"/>
      <c r="C114" s="48"/>
      <c r="F114" s="7"/>
    </row>
    <row r="115" spans="2:6">
      <c r="B115" s="47"/>
      <c r="C115" s="48"/>
      <c r="F115" s="7"/>
    </row>
    <row r="116" spans="2:6">
      <c r="B116" s="47"/>
      <c r="C116" s="48"/>
      <c r="F116" s="7"/>
    </row>
    <row r="117" spans="2:6">
      <c r="B117" s="47"/>
      <c r="C117" s="48"/>
      <c r="F117" s="7"/>
    </row>
    <row r="118" spans="2:6">
      <c r="B118" s="47"/>
      <c r="C118" s="48"/>
      <c r="F118" s="7"/>
    </row>
    <row r="119" spans="2:6">
      <c r="B119" s="47"/>
      <c r="C119" s="48"/>
      <c r="F119" s="7"/>
    </row>
    <row r="120" spans="2:6">
      <c r="B120" s="47"/>
      <c r="C120" s="48"/>
      <c r="F120" s="7"/>
    </row>
    <row r="121" spans="2:6">
      <c r="B121" s="47"/>
      <c r="C121" s="48"/>
      <c r="F121" s="7"/>
    </row>
    <row r="122" spans="2:6">
      <c r="F122" s="7"/>
    </row>
    <row r="123" spans="2:6">
      <c r="F123" s="7"/>
    </row>
    <row r="124" spans="2:6">
      <c r="F124" s="7"/>
    </row>
    <row r="125" spans="2:6">
      <c r="F125" s="7"/>
    </row>
  </sheetData>
  <mergeCells count="5">
    <mergeCell ref="B4:C4"/>
    <mergeCell ref="D4:G4"/>
    <mergeCell ref="L5:M5"/>
    <mergeCell ref="N5:O5"/>
    <mergeCell ref="P5:Q5"/>
  </mergeCell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DAF0AEB-91B5-463E-BC23-C6B2ECCF6934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49818897-17C9-4C1F-901C-492A6867C4B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Intro</vt:lpstr>
      <vt:lpstr>NM2M3</vt:lpstr>
      <vt:lpstr>Mphi (N=0)</vt:lpstr>
      <vt:lpstr>Mphi(N)</vt:lpstr>
      <vt:lpstr>Mphi stripes</vt:lpstr>
      <vt:lpstr>bilin</vt:lpstr>
      <vt:lpstr>NM2M3!Area_stampa</vt:lpstr>
      <vt:lpstr>'Mphi stripes'!epsc0</vt:lpstr>
      <vt:lpstr>'Mphi stripes'!fc</vt:lpstr>
      <vt:lpstr>'Mphi stripes'!yG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</dc:creator>
  <cp:lastModifiedBy>AM</cp:lastModifiedBy>
  <dcterms:created xsi:type="dcterms:W3CDTF">2018-10-22T09:41:39Z</dcterms:created>
  <dcterms:modified xsi:type="dcterms:W3CDTF">2021-01-15T03:33:39Z</dcterms:modified>
</cp:coreProperties>
</file>